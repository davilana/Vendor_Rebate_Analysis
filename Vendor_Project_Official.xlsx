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7"/>
  <workbookPr defaultThemeVersion="202300"/>
  <xr:revisionPtr revIDLastSave="0" documentId="8_{1AD43631-A6DD-BF4B-B161-7706580EE943}" xr6:coauthVersionLast="47" xr6:coauthVersionMax="47" xr10:uidLastSave="{00000000-0000-0000-0000-000000000000}"/>
  <bookViews>
    <workbookView xWindow="0" yWindow="0" windowWidth="0" windowHeight="0" activeTab="6" xr2:uid="{00000000-000D-0000-FFFF-FFFF00000000}"/>
  </bookViews>
  <sheets>
    <sheet name="Vendors" sheetId="1" r:id="rId1"/>
    <sheet name="Tickets" sheetId="2" r:id="rId2"/>
    <sheet name="Purchases" sheetId="3" r:id="rId3"/>
    <sheet name="Rebates" sheetId="4" r:id="rId4"/>
    <sheet name="Summary" sheetId="6" r:id="rId5"/>
    <sheet name="KPIs" sheetId="7" r:id="rId6"/>
    <sheet name="Pivot Tables" sheetId="12" r:id="rId7"/>
  </sheets>
  <calcPr calcId="191028"/>
  <pivotCaches>
    <pivotCache cacheId="20" r:id="rId8"/>
    <pivotCache cacheId="21" r:id="rId9"/>
    <pivotCache cacheId="2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G18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D2" i="4"/>
  <c r="A3" i="4"/>
  <c r="D3" i="4"/>
  <c r="A4" i="4"/>
  <c r="D4" i="4"/>
  <c r="A5" i="4"/>
  <c r="D5" i="4"/>
  <c r="A9" i="4"/>
  <c r="D9" i="4"/>
  <c r="A8" i="4"/>
  <c r="D8" i="4"/>
  <c r="A7" i="4"/>
  <c r="D7" i="4"/>
  <c r="A6" i="4"/>
  <c r="D6" i="4"/>
  <c r="B5" i="7"/>
  <c r="E2" i="4"/>
  <c r="F2" i="4"/>
  <c r="G2" i="6"/>
  <c r="E3" i="4"/>
  <c r="F3" i="4"/>
  <c r="G3" i="6"/>
  <c r="E4" i="4"/>
  <c r="F4" i="4"/>
  <c r="G4" i="6"/>
  <c r="E5" i="4"/>
  <c r="F5" i="4"/>
  <c r="G5" i="6"/>
  <c r="E9" i="4"/>
  <c r="F9" i="4"/>
  <c r="G9" i="6"/>
  <c r="E8" i="4"/>
  <c r="F8" i="4"/>
  <c r="G8" i="6"/>
  <c r="E7" i="4"/>
  <c r="F7" i="4"/>
  <c r="G7" i="6"/>
  <c r="E6" i="4"/>
  <c r="F6" i="4"/>
  <c r="G6" i="6"/>
  <c r="B10" i="7"/>
  <c r="B9" i="7"/>
  <c r="B12" i="7"/>
  <c r="B6" i="7"/>
  <c r="D2" i="1"/>
  <c r="D3" i="1"/>
  <c r="D4" i="1"/>
  <c r="D5" i="1"/>
  <c r="D9" i="1"/>
  <c r="D8" i="1"/>
  <c r="D7" i="1"/>
  <c r="D6" i="1"/>
  <c r="B8" i="7"/>
  <c r="B4" i="7"/>
  <c r="C2" i="1"/>
  <c r="C3" i="1"/>
  <c r="C4" i="1"/>
  <c r="C5" i="1"/>
  <c r="C9" i="1"/>
  <c r="C8" i="1"/>
  <c r="C7" i="1"/>
  <c r="C6" i="1"/>
  <c r="B3" i="7"/>
  <c r="B7" i="7"/>
  <c r="B11" i="7"/>
  <c r="C2" i="4"/>
  <c r="E2" i="6"/>
  <c r="C3" i="4"/>
  <c r="E3" i="6"/>
  <c r="C4" i="4"/>
  <c r="E4" i="6"/>
  <c r="C5" i="4"/>
  <c r="E5" i="6"/>
  <c r="C6" i="4"/>
  <c r="E6" i="6"/>
  <c r="C7" i="4"/>
  <c r="E7" i="6"/>
  <c r="C8" i="4"/>
  <c r="E8" i="6"/>
  <c r="C9" i="4"/>
  <c r="E9" i="6"/>
  <c r="J7" i="3"/>
  <c r="J2" i="3"/>
  <c r="J3" i="3"/>
  <c r="J4" i="3"/>
  <c r="J5" i="3"/>
  <c r="J6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F5" i="6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B2" i="6"/>
  <c r="B3" i="6"/>
  <c r="B4" i="6"/>
  <c r="B5" i="6"/>
  <c r="B6" i="6"/>
  <c r="B7" i="6"/>
  <c r="B8" i="6"/>
  <c r="B9" i="6"/>
  <c r="A2" i="6"/>
  <c r="A3" i="6"/>
  <c r="A4" i="6"/>
  <c r="A5" i="6"/>
  <c r="A6" i="6"/>
  <c r="A7" i="6"/>
  <c r="A8" i="6"/>
  <c r="A9" i="6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B301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2" i="3"/>
  <c r="B3" i="3"/>
  <c r="B2" i="1"/>
  <c r="B4" i="1"/>
  <c r="B5" i="1"/>
  <c r="B6" i="1"/>
  <c r="B7" i="1"/>
  <c r="B8" i="1"/>
  <c r="B9" i="1"/>
  <c r="B3" i="1"/>
  <c r="F2" i="6"/>
  <c r="F3" i="6"/>
  <c r="F6" i="6"/>
  <c r="F7" i="6"/>
  <c r="F8" i="6"/>
  <c r="F9" i="6"/>
  <c r="D2" i="6"/>
  <c r="D3" i="6"/>
  <c r="D5" i="6"/>
  <c r="D6" i="6"/>
  <c r="D7" i="6"/>
  <c r="D8" i="6"/>
  <c r="D9" i="6"/>
  <c r="C2" i="6"/>
  <c r="C3" i="6"/>
  <c r="C5" i="6"/>
  <c r="C6" i="6"/>
  <c r="C7" i="6"/>
  <c r="C8" i="6"/>
  <c r="C9" i="6"/>
  <c r="F4" i="6"/>
  <c r="D4" i="6"/>
  <c r="C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tc={08CC3ECB-0AFA-4C4C-8E7D-3AEA31130C26}</author>
    <author>tc={05A979D9-FCEC-3441-ABD0-B2AB230D43BF}</author>
  </authors>
  <commentList>
    <comment ref="B1" authorId="0" shapeId="0" xr:uid="{08CC3ECB-0AFA-4C4C-8E7D-3AEA31130C26}">
      <text>
        <t>[Threaded comment]
Your version of Excel allows you to read this threaded comment; however, any edits to it will get removed if the file is opened in a newer version of Excel. Learn more: https://go.microsoft.com/fwlink/?linkid=870924
Comment:
    =COUNTIF(Table3[Vendors_ID],[@[Vendors_ID]])</t>
      </text>
    </comment>
    <comment ref="C1" authorId="1" shapeId="0" xr:uid="{05A979D9-FCEC-3441-ABD0-B2AB230D43BF}">
      <text>
        <t>[Threaded comment]
Your version of Excel allows you to read this threaded comment; however, any edits to it will get removed if the file is opened in a newer version of Excel. Learn more: https://go.microsoft.com/fwlink/?linkid=870924
Comment:
    =SUMIF(Table6[[#All],[Vendor ID]],[@[Vendors_ID]],Table6[[#All],[Purchase Value]])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tc={84971401-6F33-8943-9F6E-53C248C8D9B4}</author>
    <author>tc={09B332A0-2F19-084E-A7BE-82F724B6BD00}</author>
    <author>tc={4428E865-312E-3C41-BAF2-AB585148C88C}</author>
    <author>tc={6F60101A-F320-8A45-AB43-3C99DF28454A}</author>
    <author>tc={6915BAB9-EC88-CF42-B506-FC0C548132A8}</author>
    <author>tc={498D5E99-2BF4-594A-9459-D02CA341C248}</author>
    <author>tc={FBF17A80-9804-A04E-8FAC-8CA5A2AD73B6}</author>
  </authors>
  <commentList>
    <comment ref="C1" authorId="0" shapeId="0" xr:uid="{84971401-6F33-8943-9F6E-53C248C8D9B4}">
      <text>
        <t>[Threaded comment]
Your version of Excel allows you to read this threaded comment; however, any edits to it will get removed if the file is opened in a newer version of Excel. Learn more: https://go.microsoft.com/fwlink/?linkid=870924
Comment:
    =CHOOSE(RANDBETWEEN(1,5), "Onboarding", "Late Shipment", "Order Error", "Product Quality", "Return / Exchange")</t>
      </text>
    </comment>
    <comment ref="D1" authorId="1" shapeId="0" xr:uid="{09B332A0-2F19-084E-A7BE-82F724B6BD00}">
      <text>
        <t>[Threaded comment]
Your version of Excel allows you to read this threaded comment; however, any edits to it will get removed if the file is opened in a newer version of Excel. Learn more: https://go.microsoft.com/fwlink/?linkid=870924
Comment:
    =CHOOSE(RANDBETWEEN(1,3), "Low", "Medium", "High")</t>
      </text>
    </comment>
    <comment ref="E1" authorId="2" shapeId="0" xr:uid="{4428E865-312E-3C41-BAF2-AB585148C88C}">
      <text>
        <t>[Threaded comment]
Your version of Excel allows you to read this threaded comment; however, any edits to it will get removed if the file is opened in a newer version of Excel. Learn more: https://go.microsoft.com/fwlink/?linkid=870924
Comment:
    =RANDBETWEEN(DATE(2026,2,1), DATE(2026,2,28))</t>
      </text>
    </comment>
    <comment ref="F1" authorId="3" shapeId="0" xr:uid="{6F60101A-F320-8A45-AB43-3C99DF28454A}">
      <text>
        <t>[Threaded comment]
Your version of Excel allows you to read this threaded comment; however, any edits to it will get removed if the file is opened in a newer version of Excel. Learn more: https://go.microsoft.com/fwlink/?linkid=870924
Comment:
    =CHOOSE(RANDBETWEEN(1,4), 24, 48, 72, 96)</t>
      </text>
    </comment>
    <comment ref="G1" authorId="4" shapeId="0" xr:uid="{6915BAB9-EC88-CF42-B506-FC0C548132A8}">
      <text>
        <t>[Threaded comment]
Your version of Excel allows you to read this threaded comment; however, any edits to it will get removed if the file is opened in a newer version of Excel. Learn more: https://go.microsoft.com/fwlink/?linkid=870924
Comment:
    =RANDBETWEEN([@[Date_Opened]], [@[Date_Opened]] + 5)</t>
      </text>
    </comment>
    <comment ref="H1" authorId="5" shapeId="0" xr:uid="{498D5E99-2BF4-594A-9459-D02CA341C248}">
      <text>
        <t>[Threaded comment]
Your version of Excel allows you to read this threaded comment; however, any edits to it will get removed if the file is opened in a newer version of Excel. Learn more: https://go.microsoft.com/fwlink/?linkid=870924
Comment:
    =IF(ISBLANK([@[Date_Resolved]]),"",IF(([@[Date_Resolved]]-[@[Date_Opened]])*24 &lt;=[@[SLA_Hours]],"YES","NO"))</t>
      </text>
    </comment>
    <comment ref="I1" authorId="6" shapeId="0" xr:uid="{FBF17A80-9804-A04E-8FAC-8CA5A2AD73B6}">
      <text>
        <t>[Threaded comment]
Your version of Excel allows you to read this threaded comment; however, any edits to it will get removed if the file is opened in a newer version of Excel. Learn more: https://go.microsoft.com/fwlink/?linkid=870924
Comment:
    =IF(OR(Table6[@[Order_Status]]="Delivered", Table6[@[Order_Status]]="Pending"),     IF(RAND()&lt;0.95,"Paid","Unpaid"),
     "Unpaid"
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tc={F1D65E2F-5418-2243-B5D2-0529B5DB280B}</author>
    <author>tc={A9CE9328-53FD-B545-A131-03AC5025E30B}</author>
    <author>tc={9DDA682B-775F-4F4E-879F-9DB458377B8D}</author>
    <author>tc={CBD70200-D65F-7F4B-8344-C45E180954C5}</author>
    <author>tc={BC364FC7-8BC9-7745-9D76-70448AECE445}</author>
    <author>tc={CC55D680-CF69-0948-B757-CB8B1E77D009}</author>
  </authors>
  <commentList>
    <comment ref="E1" authorId="0" shapeId="0" xr:uid="{F1D65E2F-5418-2243-B5D2-0529B5DB280B}">
      <text>
        <t>[Threaded comment]
Your version of Excel allows you to read this threaded comment; however, any edits to it will get removed if the file is opened in a newer version of Excel. Learn more: https://go.microsoft.com/fwlink/?linkid=870924
Comment:
    =IFS([@[Product_Catergory]]="Cat Food",RANDBETWEEN(5,50),[@[Product_Catergory]]="Dog Food", RANDBETWEEN(10,30),[@[Product_Catergory]]="Grooming Supplies",RANDBETWEEN(10,35), [@[Product_Catergory]]="Treats",RANDBETWEEN(10,60),[@[Product_Catergory]]="Toys", RANDBETWEEN(15,55))</t>
      </text>
    </comment>
    <comment ref="F1" authorId="1" shapeId="0" xr:uid="{A9CE9328-53FD-B545-A131-03AC5025E30B}">
      <text>
        <t>[Threaded comment]
Your version of Excel allows you to read this threaded comment; however, any edits to it will get removed if the file is opened in a newer version of Excel. Learn more: https://go.microsoft.com/fwlink/?linkid=870924
Comment:
    =IFS(
[@[Product_Catergory]]="Cat Food",RANDBETWEEN(5,25),
[@[Product_Catergory]]="Dog Food",RANDBETWEEN(15,120),
[@[Product_Catergory]]="Grooming Supplies",RANDBETWEEN(10,45),
[@[Product_Catergory]]="Treats",RANDBETWEEN(5,35),
[@[Product_Catergory]]="Toys",RANDBETWEEN(5,40)
)</t>
      </text>
    </comment>
    <comment ref="G1" authorId="2" shapeId="0" xr:uid="{9DDA682B-775F-4F4E-879F-9DB458377B8D}">
      <text>
        <t>[Threaded comment]
Your version of Excel allows you to read this threaded comment; however, any edits to it will get removed if the file is opened in a newer version of Excel. Learn more: https://go.microsoft.com/fwlink/?linkid=870924
Comment:
    =[@Quantity]*[@[Unit Price]]</t>
      </text>
    </comment>
    <comment ref="H1" authorId="3" shapeId="0" xr:uid="{CBD70200-D65F-7F4B-8344-C45E180954C5}">
      <text>
        <t>[Threaded comment]
Your version of Excel allows you to read this threaded comment; however, any edits to it will get removed if the file is opened in a newer version of Excel. Learn more: https://go.microsoft.com/fwlink/?linkid=870924
Comment:
    =CHOOSE(RANDBETWEEN(1,4),"Dog Food","Treats","Cat Food","Grooming Supplies")</t>
      </text>
    </comment>
    <comment ref="I1" authorId="4" shapeId="0" xr:uid="{BC364FC7-8BC9-7745-9D76-70448AECE445}">
      <text>
        <t>[Threaded comment]
Your version of Excel allows you to read this threaded comment; however, any edits to it will get removed if the file is opened in a newer version of Excel. Learn more: https://go.microsoft.com/fwlink/?linkid=870924
Comment:
    =LOOKUP(RAND(), {0,0.7,0.85,0.95,1}, {"Delivered","Pending","Backordered","Cancelled"})</t>
      </text>
    </comment>
    <comment ref="J1" authorId="5" shapeId="0" xr:uid="{CC55D680-CF69-0948-B757-CB8B1E77D009}">
      <text>
        <t>[Threaded comment]
Your version of Excel allows you to read this threaded comment; however, any edits to it will get removed if the file is opened in a newer version of Excel. Learn more: https://go.microsoft.com/fwlink/?linkid=870924
Comment:
    =IF(OR([@[Order_Status]]="Delivered", [@[Order_Status]]="Pending", [@[Order_Status]]="Backordered"),"Resolved","Open")</t>
      </text>
    </comment>
  </commentList>
</comments>
</file>

<file path=xl/sharedStrings.xml><?xml version="1.0" encoding="utf-8"?>
<sst xmlns="http://schemas.openxmlformats.org/spreadsheetml/2006/main" count="2637" uniqueCount="106">
  <si>
    <t>Vendors_ID</t>
  </si>
  <si>
    <t>Vendor A</t>
  </si>
  <si>
    <t>Vendor B</t>
  </si>
  <si>
    <t>Vendor C</t>
  </si>
  <si>
    <t>Vendor D</t>
  </si>
  <si>
    <t>Ticket_ID</t>
  </si>
  <si>
    <t>Vendor_ID</t>
  </si>
  <si>
    <t>Issue_Type</t>
  </si>
  <si>
    <t>Priority</t>
  </si>
  <si>
    <t>SLA_Hours</t>
  </si>
  <si>
    <t>Date_Opened</t>
  </si>
  <si>
    <t>Date_Resolved</t>
  </si>
  <si>
    <t>Medium</t>
  </si>
  <si>
    <t>High</t>
  </si>
  <si>
    <t>Low</t>
  </si>
  <si>
    <t>Accured_Rebate</t>
  </si>
  <si>
    <t>Rebate_Received</t>
  </si>
  <si>
    <t>Expected_Rebate</t>
  </si>
  <si>
    <t>Rebate_Flag</t>
  </si>
  <si>
    <t>Resolved_On_Time</t>
  </si>
  <si>
    <t>Vendor G</t>
  </si>
  <si>
    <t>Vendor H</t>
  </si>
  <si>
    <t>Vendor E</t>
  </si>
  <si>
    <t>Vendor F</t>
  </si>
  <si>
    <t>Late Shipment</t>
  </si>
  <si>
    <t>Product Quality</t>
  </si>
  <si>
    <t>Return / Exchange</t>
  </si>
  <si>
    <t>Onboarding</t>
  </si>
  <si>
    <t>Order Error</t>
  </si>
  <si>
    <t>NO</t>
  </si>
  <si>
    <t>YES</t>
  </si>
  <si>
    <t>Contract_Volume</t>
  </si>
  <si>
    <t>Contract__Value</t>
  </si>
  <si>
    <t>Purchase_ID</t>
  </si>
  <si>
    <t>Date_Ordered</t>
  </si>
  <si>
    <t>Date_Received</t>
  </si>
  <si>
    <t>Quantity</t>
  </si>
  <si>
    <t>Unit Price</t>
  </si>
  <si>
    <t>Purchase Value</t>
  </si>
  <si>
    <t>Product_Catergory</t>
  </si>
  <si>
    <t>Grooming Supplies</t>
  </si>
  <si>
    <t>Treats</t>
  </si>
  <si>
    <t>Cat Food</t>
  </si>
  <si>
    <t>Toys</t>
  </si>
  <si>
    <t>Dog Food</t>
  </si>
  <si>
    <t>Vendor ID</t>
  </si>
  <si>
    <t>Rebate Percent</t>
  </si>
  <si>
    <t>2%</t>
  </si>
  <si>
    <t>4%</t>
  </si>
  <si>
    <t>3%</t>
  </si>
  <si>
    <t>7%</t>
  </si>
  <si>
    <t>Actual_Spend</t>
  </si>
  <si>
    <t>Order_Status</t>
  </si>
  <si>
    <t>General _Status</t>
  </si>
  <si>
    <t xml:space="preserve"> </t>
  </si>
  <si>
    <t>Contract Value</t>
  </si>
  <si>
    <t>Actual Spend</t>
  </si>
  <si>
    <t>Expected Rebate</t>
  </si>
  <si>
    <t>Accrued Rebate</t>
  </si>
  <si>
    <t>Rebate Received</t>
  </si>
  <si>
    <t>Rebate Flag</t>
  </si>
  <si>
    <t>Vendor</t>
  </si>
  <si>
    <t>Paid</t>
  </si>
  <si>
    <t>Unpaid</t>
  </si>
  <si>
    <t>Delivered</t>
  </si>
  <si>
    <t>Backordered</t>
  </si>
  <si>
    <t>Cancelled</t>
  </si>
  <si>
    <t>Pending</t>
  </si>
  <si>
    <t>Total Vendors</t>
  </si>
  <si>
    <t>Total Contract Value</t>
  </si>
  <si>
    <t>Total Actual Spend</t>
  </si>
  <si>
    <t>Total Accrued Rebate</t>
  </si>
  <si>
    <t>Total Rebate Received</t>
  </si>
  <si>
    <t>Rebate Variance ($)</t>
  </si>
  <si>
    <t>Rebate Realization Rate (%)</t>
  </si>
  <si>
    <t>OK Vendors</t>
  </si>
  <si>
    <t>Issue Vendors</t>
  </si>
  <si>
    <t>% Contract Utilization</t>
  </si>
  <si>
    <t>KPIs</t>
  </si>
  <si>
    <t>% Orders Paid</t>
  </si>
  <si>
    <t xml:space="preserve"> Value</t>
  </si>
  <si>
    <t>Grand Total</t>
  </si>
  <si>
    <t>Sum of Accured_Rebate</t>
  </si>
  <si>
    <t>Sum of Rebate_Received</t>
  </si>
  <si>
    <t>Count of Date_Opened</t>
  </si>
  <si>
    <t>Sum of Quantity</t>
  </si>
  <si>
    <t>Values</t>
  </si>
  <si>
    <t>Sum of Purchase Value</t>
  </si>
  <si>
    <t>Total Sum of Quantity</t>
  </si>
  <si>
    <t>Total Sum of Purchase Value</t>
  </si>
  <si>
    <t>Vendor A Sum of Purchase Value</t>
  </si>
  <si>
    <t>Vendor A Sum of Quantity</t>
  </si>
  <si>
    <t>Vendor B Sum of Purchase Value</t>
  </si>
  <si>
    <t>Vendor B Sum of Quantity</t>
  </si>
  <si>
    <t>Vendor C Sum of Purchase Value</t>
  </si>
  <si>
    <t>Vendor C Sum of Quantity</t>
  </si>
  <si>
    <t>Vendor D Sum of Purchase Value</t>
  </si>
  <si>
    <t>Vendor D Sum of Quantity</t>
  </si>
  <si>
    <t>Vendor E Sum of Purchase Value</t>
  </si>
  <si>
    <t>Vendor E Sum of Quantity</t>
  </si>
  <si>
    <t>Vendor F Sum of Purchase Value</t>
  </si>
  <si>
    <t>Vendor F Sum of Quantity</t>
  </si>
  <si>
    <t>Vendor G Sum of Purchase Value</t>
  </si>
  <si>
    <t>Vendor G Sum of Quantity</t>
  </si>
  <si>
    <t>Vendor H Sum of Purchase Value</t>
  </si>
  <si>
    <t>Vendor H 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</si>
</sst>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6"/>
      <name val="Yu Gothic"/>
      <family val="2"/>
      <charset val="128"/>
    </font>
    <font>
      <b/>
      <sz val="11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  <fill>
      <patternFill patternType="solid">
        <fgColor theme="0"/>
        <bgColor indexed="64"/>
      </patternFill>
    </fill>
    <fill>
      <patternFill patternType="solid">
        <fgColor rgb="FF156082"/>
        <bgColor rgb="FF156082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theme="0" tint="-9.9978637043366805E-2"/>
      </left>
      <right style="thin">
        <color theme="0" tint="-9.9978637043366805E-2"/>
      </right>
      <top style="thin">
        <color theme="0" tint="-9.9978637043366805E-2"/>
      </top>
      <bottom style="thin">
        <color theme="0" tint="-9.9978637043366805E-2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3" borderId="1" xfId="0" applyFont="1" applyFill="1" applyBorder="1" applyAlignment="1">
      <alignment wrapText="1"/>
    </xf>
    <xf numFmtId="14" fontId="0" fillId="3" borderId="1" xfId="0" applyNumberFormat="1" applyFont="1" applyFill="1" applyBorder="1" applyAlignment="1">
      <alignment wrapText="1"/>
    </xf>
    <xf numFmtId="0" fontId="0" fillId="0" borderId="1" xfId="0" applyFont="1" applyBorder="1" applyAlignment="1">
      <alignment wrapText="1"/>
    </xf>
    <xf numFmtId="14" fontId="0" fillId="0" borderId="1" xfId="0" applyNumberFormat="1" applyFont="1" applyBorder="1" applyAlignment="1">
      <alignment wrapText="1"/>
    </xf>
    <xf numFmtId="0" fontId="0" fillId="0" borderId="1" xfId="0" applyFont="1" applyBorder="1"/>
    <xf numFmtId="0" fontId="2" fillId="2" borderId="0" xfId="0" applyFont="1" applyFill="1" applyBorder="1"/>
    <xf numFmtId="164" fontId="0" fillId="0" borderId="0" xfId="0" applyNumberFormat="1" applyAlignment="1">
      <alignment wrapText="1"/>
    </xf>
    <xf numFmtId="0" fontId="0" fillId="0" borderId="0" xfId="0" applyNumberFormat="1"/>
    <xf numFmtId="14" fontId="0" fillId="0" borderId="1" xfId="0" applyNumberFormat="1" applyFont="1" applyBorder="1"/>
    <xf numFmtId="0" fontId="1" fillId="4" borderId="2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3" borderId="1" xfId="0" applyNumberFormat="1" applyFont="1" applyFill="1" applyBorder="1"/>
    <xf numFmtId="1" fontId="0" fillId="3" borderId="1" xfId="0" applyNumberFormat="1" applyFont="1" applyFill="1" applyBorder="1" applyAlignment="1">
      <alignment wrapText="1"/>
    </xf>
    <xf numFmtId="1" fontId="0" fillId="0" borderId="1" xfId="0" applyNumberFormat="1" applyFont="1" applyBorder="1" applyAlignment="1">
      <alignment wrapText="1"/>
    </xf>
    <xf numFmtId="0" fontId="4" fillId="6" borderId="3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0" fillId="5" borderId="4" xfId="0" applyFont="1" applyFill="1" applyBorder="1" applyAlignment="1">
      <alignment wrapText="1"/>
    </xf>
    <xf numFmtId="1" fontId="0" fillId="0" borderId="0" xfId="0" applyNumberFormat="1"/>
    <xf numFmtId="2" fontId="0" fillId="0" borderId="0" xfId="0" applyNumberFormat="1"/>
    <xf numFmtId="0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horizontal="left"/>
    </xf>
    <xf numFmtId="9" fontId="0" fillId="0" borderId="0" xfId="0" applyNumberFormat="1" applyAlignment="1">
      <alignment wrapText="1"/>
    </xf>
    <xf numFmtId="9" fontId="0" fillId="0" borderId="0" xfId="0" applyNumberFormat="1" applyAlignment="1">
      <alignment horizontal="left" wrapText="1"/>
    </xf>
    <xf numFmtId="164" fontId="0" fillId="0" borderId="0" xfId="0" applyNumberFormat="1"/>
    <xf numFmtId="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9" fontId="0" fillId="0" borderId="0" xfId="0" applyNumberFormat="1"/>
    <xf numFmtId="0" fontId="0" fillId="0" borderId="0" xfId="0" pivotButton="1"/>
    <xf numFmtId="0" fontId="5" fillId="3" borderId="5" xfId="0" applyFont="1" applyFill="1" applyBorder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5" fillId="3" borderId="5" xfId="0" pivotButton="1" applyFont="1" applyFill="1" applyBorder="1"/>
    <xf numFmtId="0" fontId="5" fillId="3" borderId="1" xfId="0" applyNumberFormat="1" applyFont="1" applyFill="1" applyBorder="1"/>
  </cellXfs>
  <cellStyles count="1">
    <cellStyle name="Normal" xfId="0" builtinId="0"/>
  </cellStyles>
  <dxfs count="37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0" formatCode="General"/>
    </dxf>
    <dxf>
      <numFmt numFmtId="164" formatCode="[$$-409]#,##0.00"/>
    </dxf>
    <dxf>
      <numFmt numFmtId="164" formatCode="[$$-409]#,##0.00"/>
      <alignment horizontal="general" vertical="bottom" textRotation="0" wrapText="1" indent="0" justifyLastLine="0" shrinkToFit="0" readingOrder="0"/>
    </dxf>
    <dxf>
      <numFmt numFmtId="164" formatCode="[$$-409]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3" formatCode="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[$$-409]#,##0.00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64" formatCode="[$$-409]#,##0.00"/>
      <alignment horizontal="general" vertical="bottom" textRotation="0" wrapText="1" indent="0" justifyLastLine="0" shrinkToFit="0" readingOrder="0"/>
    </dxf>
    <dxf>
      <numFmt numFmtId="164" formatCode="[$$-409]#,##0.0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19" formatCode="m/d/yy"/>
      <alignment horizontal="general" vertical="bottom" textRotation="0" wrapText="1" indent="0" justifyLastLine="0" shrinkToFit="0" readingOrder="0"/>
    </dxf>
    <dxf>
      <numFmt numFmtId="19" formatCode="m/d/yy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[$$-409]#,##0.00"/>
      <alignment horizontal="left" vertical="bottom" textRotation="0" wrapText="0" indent="0" justifyLastLine="0" shrinkToFit="0" readingOrder="0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Vendor Comparison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Contract Value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Summary!$A$2:$A$9</c:f>
              <c:strCache>
                <c:ptCount val="8"/>
                <c:pt idx="0">
                  <c:v>Vendor A</c:v>
                </c:pt>
                <c:pt idx="1">
                  <c:v>Vendor B</c:v>
                </c:pt>
                <c:pt idx="2">
                  <c:v>Vendor C</c:v>
                </c:pt>
                <c:pt idx="3">
                  <c:v>Vendor D</c:v>
                </c:pt>
                <c:pt idx="4">
                  <c:v>Vendor E</c:v>
                </c:pt>
                <c:pt idx="5">
                  <c:v>Vendor F</c:v>
                </c:pt>
                <c:pt idx="6">
                  <c:v>Vendor G</c:v>
                </c:pt>
                <c:pt idx="7">
                  <c:v>Vendor H</c:v>
                </c:pt>
              </c:strCache>
            </c:strRef>
          </c:cat>
          <c:val>
            <c:numRef>
              <c:f>Summary!$B$2:$B$9</c:f>
              <c:numCache>
                <c:formatCode>[$$-409]#,##0.00</c:formatCode>
                <c:ptCount val="8"/>
                <c:pt idx="0">
                  <c:v>349158</c:v>
                </c:pt>
                <c:pt idx="1">
                  <c:v>425072</c:v>
                </c:pt>
                <c:pt idx="2">
                  <c:v>379270</c:v>
                </c:pt>
                <c:pt idx="3">
                  <c:v>502012</c:v>
                </c:pt>
                <c:pt idx="4">
                  <c:v>295744</c:v>
                </c:pt>
                <c:pt idx="5">
                  <c:v>339285</c:v>
                </c:pt>
                <c:pt idx="6">
                  <c:v>344612</c:v>
                </c:pt>
                <c:pt idx="7">
                  <c:v>332788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8BFF-5340-B2CB-1AC11D71058F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Actual Spend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Summary!$A$2:$A$9</c:f>
              <c:strCache>
                <c:ptCount val="8"/>
                <c:pt idx="0">
                  <c:v>Vendor A</c:v>
                </c:pt>
                <c:pt idx="1">
                  <c:v>Vendor B</c:v>
                </c:pt>
                <c:pt idx="2">
                  <c:v>Vendor C</c:v>
                </c:pt>
                <c:pt idx="3">
                  <c:v>Vendor D</c:v>
                </c:pt>
                <c:pt idx="4">
                  <c:v>Vendor E</c:v>
                </c:pt>
                <c:pt idx="5">
                  <c:v>Vendor F</c:v>
                </c:pt>
                <c:pt idx="6">
                  <c:v>Vendor G</c:v>
                </c:pt>
                <c:pt idx="7">
                  <c:v>Vendor H</c:v>
                </c:pt>
              </c:strCache>
            </c:strRef>
          </c:cat>
          <c:val>
            <c:numRef>
              <c:f>Summary!$C$2:$C$9</c:f>
              <c:numCache>
                <c:formatCode>[$$-409]#,##0.00</c:formatCode>
                <c:ptCount val="8"/>
                <c:pt idx="0">
                  <c:v>323822</c:v>
                </c:pt>
                <c:pt idx="1">
                  <c:v>407377</c:v>
                </c:pt>
                <c:pt idx="2">
                  <c:v>373510</c:v>
                </c:pt>
                <c:pt idx="3">
                  <c:v>449948</c:v>
                </c:pt>
                <c:pt idx="4">
                  <c:v>286712</c:v>
                </c:pt>
                <c:pt idx="5">
                  <c:v>321594</c:v>
                </c:pt>
                <c:pt idx="6">
                  <c:v>340832</c:v>
                </c:pt>
                <c:pt idx="7">
                  <c:v>302505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8BFF-5340-B2CB-1AC11D710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3303552"/>
        <c:axId val="2063305344"/>
      </c:barChart>
      <c:catAx>
        <c:axId val="2063303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305344"/>
        <c:crosses val="autoZero"/>
        <c:auto val="1"/>
        <c:lblAlgn val="ctr"/>
        <c:lblOffset val="100"/>
        <c:noMultiLvlLbl val="0"/>
      </c:catAx>
      <c:valAx>
        <c:axId val="206330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30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Rebate Realization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Summary!$E$1:$F$1</c:f>
              <c:strCache>
                <c:ptCount val="2"/>
                <c:pt idx="0">
                  <c:v>Expected Rebate</c:v>
                </c:pt>
                <c:pt idx="1">
                  <c:v>Rebate Received</c:v>
                </c:pt>
              </c:strCache>
            </c:strRef>
          </c:cat>
          <c:val>
            <c:numRef>
              <c:f>Summary!$E$2:$F$2</c:f>
              <c:numCache>
                <c:formatCode>[$$-409]#,##0.00</c:formatCode>
                <c:ptCount val="2"/>
                <c:pt idx="0">
                  <c:v>6983.16</c:v>
                </c:pt>
                <c:pt idx="1">
                  <c:v>6781.3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28-AD48-A7EC-CE0BD7E22E5B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Summary!$E$1:$F$1</c:f>
              <c:strCache>
                <c:ptCount val="2"/>
                <c:pt idx="0">
                  <c:v>Expected Rebate</c:v>
                </c:pt>
                <c:pt idx="1">
                  <c:v>Rebate Received</c:v>
                </c:pt>
              </c:strCache>
            </c:strRef>
          </c:cat>
          <c:val>
            <c:numRef>
              <c:f>Summary!$E$3:$F$3</c:f>
              <c:numCache>
                <c:formatCode>[$$-409]#,##0.00</c:formatCode>
                <c:ptCount val="2"/>
                <c:pt idx="0">
                  <c:v>17002.88</c:v>
                </c:pt>
                <c:pt idx="1">
                  <c:v>14524.68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28-AD48-A7EC-CE0BD7E22E5B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Summary!$E$1:$F$1</c:f>
              <c:strCache>
                <c:ptCount val="2"/>
                <c:pt idx="0">
                  <c:v>Expected Rebate</c:v>
                </c:pt>
                <c:pt idx="1">
                  <c:v>Rebate Received</c:v>
                </c:pt>
              </c:strCache>
            </c:strRef>
          </c:cat>
          <c:val>
            <c:numRef>
              <c:f>Summary!$E$4:$F$4</c:f>
              <c:numCache>
                <c:formatCode>[$$-409]#,##0.00</c:formatCode>
                <c:ptCount val="2"/>
                <c:pt idx="0">
                  <c:v>11378.1</c:v>
                </c:pt>
                <c:pt idx="1">
                  <c:v>10263.81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28-AD48-A7EC-CE0BD7E22E5B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Summary!$E$1:$F$1</c:f>
              <c:strCache>
                <c:ptCount val="2"/>
                <c:pt idx="0">
                  <c:v>Expected Rebate</c:v>
                </c:pt>
                <c:pt idx="1">
                  <c:v>Rebate Received</c:v>
                </c:pt>
              </c:strCache>
            </c:strRef>
          </c:cat>
          <c:val>
            <c:numRef>
              <c:f>Summary!$E$5:$F$5</c:f>
              <c:numCache>
                <c:formatCode>[$$-409]#,##0.00</c:formatCode>
                <c:ptCount val="2"/>
                <c:pt idx="0">
                  <c:v>20080.48</c:v>
                </c:pt>
                <c:pt idx="1">
                  <c:v>18722.16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828-AD48-A7EC-CE0BD7E22E5B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Summary!$E$1:$F$1</c:f>
              <c:strCache>
                <c:ptCount val="2"/>
                <c:pt idx="0">
                  <c:v>Expected Rebate</c:v>
                </c:pt>
                <c:pt idx="1">
                  <c:v>Rebate Received</c:v>
                </c:pt>
              </c:strCache>
            </c:strRef>
          </c:cat>
          <c:val>
            <c:numRef>
              <c:f>Summary!$E$6:$F$6</c:f>
              <c:numCache>
                <c:formatCode>[$$-409]#,##0.00</c:formatCode>
                <c:ptCount val="2"/>
                <c:pt idx="0">
                  <c:v>20702.080000000002</c:v>
                </c:pt>
                <c:pt idx="1">
                  <c:v>19593.210000000003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828-AD48-A7EC-CE0BD7E22E5B}"/>
            </c:ext>
          </c:extLst>
        </c:ser>
        <c:ser>
          <c:idx val="5"/>
          <c:order val="5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Summary!$E$1:$F$1</c:f>
              <c:strCache>
                <c:ptCount val="2"/>
                <c:pt idx="0">
                  <c:v>Expected Rebate</c:v>
                </c:pt>
                <c:pt idx="1">
                  <c:v>Rebate Received</c:v>
                </c:pt>
              </c:strCache>
            </c:strRef>
          </c:cat>
          <c:val>
            <c:numRef>
              <c:f>Summary!$E$7:$F$7</c:f>
              <c:numCache>
                <c:formatCode>[$$-409]#,##0.00</c:formatCode>
                <c:ptCount val="2"/>
                <c:pt idx="0">
                  <c:v>23749.95</c:v>
                </c:pt>
                <c:pt idx="1">
                  <c:v>20070.050000000003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828-AD48-A7EC-CE0BD7E22E5B}"/>
            </c:ext>
          </c:extLst>
        </c:ser>
        <c:ser>
          <c:idx val="6"/>
          <c:order val="6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Summary!$E$1:$F$1</c:f>
              <c:strCache>
                <c:ptCount val="2"/>
                <c:pt idx="0">
                  <c:v>Expected Rebate</c:v>
                </c:pt>
                <c:pt idx="1">
                  <c:v>Rebate Received</c:v>
                </c:pt>
              </c:strCache>
            </c:strRef>
          </c:cat>
          <c:val>
            <c:numRef>
              <c:f>Summary!$E$8:$F$8</c:f>
              <c:numCache>
                <c:formatCode>[$$-409]#,##0.00</c:formatCode>
                <c:ptCount val="2"/>
                <c:pt idx="0">
                  <c:v>13784.48</c:v>
                </c:pt>
                <c:pt idx="1">
                  <c:v>13431.52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828-AD48-A7EC-CE0BD7E22E5B}"/>
            </c:ext>
          </c:extLst>
        </c:ser>
        <c:ser>
          <c:idx val="7"/>
          <c:order val="7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Summary!$E$1:$F$1</c:f>
              <c:strCache>
                <c:ptCount val="2"/>
                <c:pt idx="0">
                  <c:v>Expected Rebate</c:v>
                </c:pt>
                <c:pt idx="1">
                  <c:v>Rebate Received</c:v>
                </c:pt>
              </c:strCache>
            </c:strRef>
          </c:cat>
          <c:val>
            <c:numRef>
              <c:f>Summary!$E$9:$F$9</c:f>
              <c:numCache>
                <c:formatCode>[$$-409]#,##0.00</c:formatCode>
                <c:ptCount val="2"/>
                <c:pt idx="0">
                  <c:v>16639.400000000001</c:v>
                </c:pt>
                <c:pt idx="1">
                  <c:v>16354.300000000001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828-AD48-A7EC-CE0BD7E22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698501</xdr:colOff>
      <xdr:row>10</xdr:row>
      <xdr:rowOff>33868</xdr:rowOff>
    </xdr:from>
    <xdr:to>
      <xdr:col>8</xdr:col>
      <xdr:colOff>245533</xdr:colOff>
      <xdr:row>21</xdr:row>
      <xdr:rowOff>148167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FCE1AB-3788-7A39-B6FA-D284FBC12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</xdr:row>
      <xdr:rowOff>42332</xdr:rowOff>
    </xdr:from>
    <xdr:to>
      <xdr:col>2</xdr:col>
      <xdr:colOff>436032</xdr:colOff>
      <xdr:row>21</xdr:row>
      <xdr:rowOff>131233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1E00905-D950-055C-9288-825330889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atasha Davila" id="{C14B99AD-C162-5A4E-85B5-752BE8B2EEEB}" userId="4b9db582c874c7b6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LNext Device" refreshedDate="46084.903743981478" createdVersion="8" refreshedVersion="8" minRefreshableVersion="3" recordCount="8" xr:uid="{431C5599-FE5B-5E4B-82CE-7004BF98E866}">
  <cacheSource type="worksheet">
    <worksheetSource ref="A1:F9" sheet="Rebates"/>
  </cacheSource>
  <cacheFields count="6">
    <cacheField name="Vendor_ID" numFmtId="0">
      <sharedItems count="8">
        <s v="Vendor A"/>
        <s v="Vendor B"/>
        <s v="Vendor C"/>
        <s v="Vendor D"/>
        <s v="Vendor E"/>
        <s v="Vendor F"/>
        <s v="Vendor G"/>
        <s v="Vendor H"/>
      </sharedItems>
    </cacheField>
    <cacheField name="Rebate Percent" numFmtId="9">
      <sharedItems containsMixedTypes="1" containsNumber="1" minValue="0.05" maxValue="0.05"/>
    </cacheField>
    <cacheField name="Expected_Rebate" numFmtId="164">
      <sharedItems containsSemiMixedTypes="0" containsString="0" containsNumber="1" minValue="6983.16" maxValue="23749.95"/>
    </cacheField>
    <cacheField name="Accured_Rebate" numFmtId="164">
      <sharedItems containsSemiMixedTypes="0" containsString="0" containsNumber="1" minValue="6476.4400000000005" maxValue="22511.58"/>
    </cacheField>
    <cacheField name="Rebate_Received" numFmtId="164">
      <sharedItems containsSemiMixedTypes="0" containsString="0" containsNumber="1" minValue="6781.3" maxValue="20070.050000000003"/>
    </cacheField>
    <cacheField name="Rebate_Flag" numFmtId="16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LNext Device" refreshedDate="46084.917876504631" createdVersion="8" refreshedVersion="8" minRefreshableVersion="3" recordCount="300" xr:uid="{2507111A-F3E6-0E44-B07D-FCD774A1FB30}">
  <cacheSource type="worksheet">
    <worksheetSource name="Table3" sheet="Pivot Tables"/>
  </cacheSource>
  <cacheFields count="9">
    <cacheField name="Ticket_ID" numFmtId="0">
      <sharedItems containsSemiMixedTypes="0" containsString="0" containsNumber="1" containsInteger="1" minValue="101" maxValue="400"/>
    </cacheField>
    <cacheField name="Vendors_ID" numFmtId="0">
      <sharedItems count="8">
        <s v="Vendor C"/>
        <s v="Vendor D"/>
        <s v="Vendor G"/>
        <s v="Vendor B"/>
        <s v="Vendor F"/>
        <s v="Vendor E"/>
        <s v="Vendor H"/>
        <s v="Vendor A"/>
      </sharedItems>
    </cacheField>
    <cacheField name="Issue_Type" numFmtId="0">
      <sharedItems/>
    </cacheField>
    <cacheField name="Priority" numFmtId="0">
      <sharedItems/>
    </cacheField>
    <cacheField name="Date_Opened" numFmtId="14">
      <sharedItems containsSemiMixedTypes="0" containsNonDate="0" containsDate="1" containsString="0" minDate="2025-01-02T00:00:00" maxDate="2025-02-01T00:00:00" count="30">
        <d v="2025-01-09T00:00:00"/>
        <d v="2025-01-25T00:00:00"/>
        <d v="2025-01-11T00:00:00"/>
        <d v="2025-01-15T00:00:00"/>
        <d v="2025-01-27T00:00:00"/>
        <d v="2025-01-06T00:00:00"/>
        <d v="2025-01-28T00:00:00"/>
        <d v="2025-01-05T00:00:00"/>
        <d v="2025-01-21T00:00:00"/>
        <d v="2025-01-04T00:00:00"/>
        <d v="2025-01-22T00:00:00"/>
        <d v="2025-01-23T00:00:00"/>
        <d v="2025-01-14T00:00:00"/>
        <d v="2025-01-16T00:00:00"/>
        <d v="2025-01-24T00:00:00"/>
        <d v="2025-01-19T00:00:00"/>
        <d v="2025-01-12T00:00:00"/>
        <d v="2025-01-02T00:00:00"/>
        <d v="2025-01-26T00:00:00"/>
        <d v="2025-01-07T00:00:00"/>
        <d v="2025-01-08T00:00:00"/>
        <d v="2025-01-29T00:00:00"/>
        <d v="2025-01-10T00:00:00"/>
        <d v="2025-01-13T00:00:00"/>
        <d v="2025-01-17T00:00:00"/>
        <d v="2025-01-20T00:00:00"/>
        <d v="2025-01-03T00:00:00"/>
        <d v="2025-01-18T00:00:00"/>
        <d v="2025-01-31T00:00:00"/>
        <d v="2025-01-30T00:00:00"/>
      </sharedItems>
    </cacheField>
    <cacheField name="SLA_Hours" numFmtId="1">
      <sharedItems containsSemiMixedTypes="0" containsString="0" containsNumber="1" containsInteger="1" minValue="24" maxValue="72"/>
    </cacheField>
    <cacheField name="Date_Resolved" numFmtId="14">
      <sharedItems containsSemiMixedTypes="0" containsNonDate="0" containsDate="1" containsString="0" minDate="2025-01-03T00:00:00" maxDate="2025-02-08T00:00:00" count="35">
        <d v="2025-01-13T00:00:00"/>
        <d v="2025-01-31T00:00:00"/>
        <d v="2025-01-21T00:00:00"/>
        <d v="2025-01-12T00:00:00"/>
        <d v="2025-02-03T00:00:00"/>
        <d v="2025-01-15T00:00:00"/>
        <d v="2025-01-07T00:00:00"/>
        <d v="2025-02-01T00:00:00"/>
        <d v="2025-01-25T00:00:00"/>
        <d v="2025-01-28T00:00:00"/>
        <d v="2025-01-06T00:00:00"/>
        <d v="2025-01-09T00:00:00"/>
        <d v="2025-01-27T00:00:00"/>
        <d v="2025-01-26T00:00:00"/>
        <d v="2025-01-14T00:00:00"/>
        <d v="2025-01-16T00:00:00"/>
        <d v="2025-01-24T00:00:00"/>
        <d v="2025-01-17T00:00:00"/>
        <d v="2025-01-04T00:00:00"/>
        <d v="2025-02-04T00:00:00"/>
        <d v="2025-01-29T00:00:00"/>
        <d v="2025-01-05T00:00:00"/>
        <d v="2025-01-11T00:00:00"/>
        <d v="2025-01-18T00:00:00"/>
        <d v="2025-01-19T00:00:00"/>
        <d v="2025-01-30T00:00:00"/>
        <d v="2025-01-20T00:00:00"/>
        <d v="2025-02-02T00:00:00"/>
        <d v="2025-01-22T00:00:00"/>
        <d v="2025-01-08T00:00:00"/>
        <d v="2025-01-10T00:00:00"/>
        <d v="2025-01-23T00:00:00"/>
        <d v="2025-02-05T00:00:00"/>
        <d v="2025-02-07T00:00:00"/>
        <d v="2025-01-03T00:00:00"/>
      </sharedItems>
    </cacheField>
    <cacheField name="Resolved_On_Time" numFmtId="0">
      <sharedItems count="2">
        <s v="NO"/>
        <s v="YES"/>
      </sharedItems>
    </cacheField>
    <cacheField name="Paid" numFmtId="0">
      <sharedItems count="2">
        <s v="Paid"/>
        <s v="Unp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LNext Device" refreshedDate="46084.918829513888" createdVersion="8" refreshedVersion="8" minRefreshableVersion="3" recordCount="300" xr:uid="{3C7E218E-D6F5-0F4D-9FDA-06E605C81385}">
  <cacheSource type="worksheet">
    <worksheetSource name="Table6" sheet="Pivot Tables"/>
  </cacheSource>
  <cacheFields count="10">
    <cacheField name="Vendor ID" numFmtId="0">
      <sharedItems count="8">
        <s v="Vendor C"/>
        <s v="Vendor D"/>
        <s v="Vendor G"/>
        <s v="Vendor B"/>
        <s v="Vendor F"/>
        <s v="Vendor E"/>
        <s v="Vendor H"/>
        <s v="Vendor A"/>
      </sharedItems>
    </cacheField>
    <cacheField name="Purchase_ID" numFmtId="0">
      <sharedItems count="300">
        <s v="V-101"/>
        <s v="V-102"/>
        <s v="V-103"/>
        <s v="V-104"/>
        <s v="V-105"/>
        <s v="V-106"/>
        <s v="V-107"/>
        <s v="V-108"/>
        <s v="V-109"/>
        <s v="V-110"/>
        <s v="V-111"/>
        <s v="V-112"/>
        <s v="V-113"/>
        <s v="V-114"/>
        <s v="V-115"/>
        <s v="V-116"/>
        <s v="V-117"/>
        <s v="V-118"/>
        <s v="V-119"/>
        <s v="V-120"/>
        <s v="V-121"/>
        <s v="V-122"/>
        <s v="V-123"/>
        <s v="V-124"/>
        <s v="V-125"/>
        <s v="V-126"/>
        <s v="V-127"/>
        <s v="V-128"/>
        <s v="V-129"/>
        <s v="V-130"/>
        <s v="V-131"/>
        <s v="V-132"/>
        <s v="V-133"/>
        <s v="V-134"/>
        <s v="V-135"/>
        <s v="V-136"/>
        <s v="V-137"/>
        <s v="V-138"/>
        <s v="V-139"/>
        <s v="V-140"/>
        <s v="V-141"/>
        <s v="V-142"/>
        <s v="V-143"/>
        <s v="V-144"/>
        <s v="V-145"/>
        <s v="V-146"/>
        <s v="V-147"/>
        <s v="V-148"/>
        <s v="V-149"/>
        <s v="V-150"/>
        <s v="V-151"/>
        <s v="V-152"/>
        <s v="V-153"/>
        <s v="V-154"/>
        <s v="V-155"/>
        <s v="V-156"/>
        <s v="V-157"/>
        <s v="V-158"/>
        <s v="V-159"/>
        <s v="V-160"/>
        <s v="V-161"/>
        <s v="V-162"/>
        <s v="V-163"/>
        <s v="V-164"/>
        <s v="V-165"/>
        <s v="V-166"/>
        <s v="V-167"/>
        <s v="V-168"/>
        <s v="V-169"/>
        <s v="V-170"/>
        <s v="V-171"/>
        <s v="V-172"/>
        <s v="V-173"/>
        <s v="V-174"/>
        <s v="V-175"/>
        <s v="V-176"/>
        <s v="V-177"/>
        <s v="V-178"/>
        <s v="V-179"/>
        <s v="V-180"/>
        <s v="V-181"/>
        <s v="V-182"/>
        <s v="V-183"/>
        <s v="V-184"/>
        <s v="V-185"/>
        <s v="V-186"/>
        <s v="V-187"/>
        <s v="V-188"/>
        <s v="V-189"/>
        <s v="V-190"/>
        <s v="V-191"/>
        <s v="V-192"/>
        <s v="V-193"/>
        <s v="V-194"/>
        <s v="V-195"/>
        <s v="V-196"/>
        <s v="V-197"/>
        <s v="V-198"/>
        <s v="V-199"/>
        <s v="V-200"/>
        <s v="V-201"/>
        <s v="V-202"/>
        <s v="V-203"/>
        <s v="V-204"/>
        <s v="V-205"/>
        <s v="V-206"/>
        <s v="V-207"/>
        <s v="V-208"/>
        <s v="V-209"/>
        <s v="V-210"/>
        <s v="V-211"/>
        <s v="V-212"/>
        <s v="V-213"/>
        <s v="V-214"/>
        <s v="V-215"/>
        <s v="V-216"/>
        <s v="V-217"/>
        <s v="V-218"/>
        <s v="V-219"/>
        <s v="V-220"/>
        <s v="V-221"/>
        <s v="V-222"/>
        <s v="V-223"/>
        <s v="V-224"/>
        <s v="V-225"/>
        <s v="V-226"/>
        <s v="V-227"/>
        <s v="V-228"/>
        <s v="V-229"/>
        <s v="V-230"/>
        <s v="V-231"/>
        <s v="V-232"/>
        <s v="V-233"/>
        <s v="V-234"/>
        <s v="V-235"/>
        <s v="V-236"/>
        <s v="V-237"/>
        <s v="V-238"/>
        <s v="V-239"/>
        <s v="V-240"/>
        <s v="V-241"/>
        <s v="V-242"/>
        <s v="V-243"/>
        <s v="V-244"/>
        <s v="V-245"/>
        <s v="V-246"/>
        <s v="V-247"/>
        <s v="V-248"/>
        <s v="V-249"/>
        <s v="V-250"/>
        <s v="V-251"/>
        <s v="V-252"/>
        <s v="V-253"/>
        <s v="V-254"/>
        <s v="V-255"/>
        <s v="V-256"/>
        <s v="V-257"/>
        <s v="V-258"/>
        <s v="V-259"/>
        <s v="V-260"/>
        <s v="V-261"/>
        <s v="V-262"/>
        <s v="V-263"/>
        <s v="V-264"/>
        <s v="V-265"/>
        <s v="V-266"/>
        <s v="V-267"/>
        <s v="V-268"/>
        <s v="V-269"/>
        <s v="V-270"/>
        <s v="V-271"/>
        <s v="V-272"/>
        <s v="V-273"/>
        <s v="V-274"/>
        <s v="V-275"/>
        <s v="V-276"/>
        <s v="V-277"/>
        <s v="V-278"/>
        <s v="V-279"/>
        <s v="V-280"/>
        <s v="V-281"/>
        <s v="V-282"/>
        <s v="V-283"/>
        <s v="V-284"/>
        <s v="V-285"/>
        <s v="V-286"/>
        <s v="V-287"/>
        <s v="V-288"/>
        <s v="V-289"/>
        <s v="V-290"/>
        <s v="V-291"/>
        <s v="V-292"/>
        <s v="V-293"/>
        <s v="V-294"/>
        <s v="V-295"/>
        <s v="V-296"/>
        <s v="V-297"/>
        <s v="V-298"/>
        <s v="V-299"/>
        <s v="V-300"/>
        <s v="V-301"/>
        <s v="V-302"/>
        <s v="V-303"/>
        <s v="V-304"/>
        <s v="V-305"/>
        <s v="V-306"/>
        <s v="V-307"/>
        <s v="V-308"/>
        <s v="V-309"/>
        <s v="V-310"/>
        <s v="V-311"/>
        <s v="V-312"/>
        <s v="V-313"/>
        <s v="V-314"/>
        <s v="V-315"/>
        <s v="V-316"/>
        <s v="V-317"/>
        <s v="V-318"/>
        <s v="V-319"/>
        <s v="V-320"/>
        <s v="V-321"/>
        <s v="V-322"/>
        <s v="V-323"/>
        <s v="V-324"/>
        <s v="V-325"/>
        <s v="V-326"/>
        <s v="V-327"/>
        <s v="V-328"/>
        <s v="V-329"/>
        <s v="V-330"/>
        <s v="V-331"/>
        <s v="V-332"/>
        <s v="V-333"/>
        <s v="V-334"/>
        <s v="V-335"/>
        <s v="V-336"/>
        <s v="V-337"/>
        <s v="V-338"/>
        <s v="V-339"/>
        <s v="V-340"/>
        <s v="V-341"/>
        <s v="V-342"/>
        <s v="V-343"/>
        <s v="V-344"/>
        <s v="V-345"/>
        <s v="V-346"/>
        <s v="V-347"/>
        <s v="V-348"/>
        <s v="V-349"/>
        <s v="V-350"/>
        <s v="V-351"/>
        <s v="V-352"/>
        <s v="V-353"/>
        <s v="V-354"/>
        <s v="V-355"/>
        <s v="V-356"/>
        <s v="V-357"/>
        <s v="V-358"/>
        <s v="V-359"/>
        <s v="V-360"/>
        <s v="V-361"/>
        <s v="V-362"/>
        <s v="V-363"/>
        <s v="V-364"/>
        <s v="V-365"/>
        <s v="V-366"/>
        <s v="V-367"/>
        <s v="V-368"/>
        <s v="V-369"/>
        <s v="V-370"/>
        <s v="V-371"/>
        <s v="V-372"/>
        <s v="V-373"/>
        <s v="V-374"/>
        <s v="V-375"/>
        <s v="V-376"/>
        <s v="V-377"/>
        <s v="V-378"/>
        <s v="V-379"/>
        <s v="V-380"/>
        <s v="V-381"/>
        <s v="V-382"/>
        <s v="V-383"/>
        <s v="V-384"/>
        <s v="V-385"/>
        <s v="V-386"/>
        <s v="V-387"/>
        <s v="V-388"/>
        <s v="V-389"/>
        <s v="V-390"/>
        <s v="V-391"/>
        <s v="V-392"/>
        <s v="V-393"/>
        <s v="V-394"/>
        <s v="V-395"/>
        <s v="V-396"/>
        <s v="V-397"/>
        <s v="V-398"/>
        <s v="V-399"/>
        <s v="V-400"/>
      </sharedItems>
    </cacheField>
    <cacheField name="Date_Ordered" numFmtId="14">
      <sharedItems containsSemiMixedTypes="0" containsNonDate="0" containsDate="1" containsString="0" minDate="2025-01-02T00:00:00" maxDate="2025-02-01T00:00:00"/>
    </cacheField>
    <cacheField name="Date_Received" numFmtId="14">
      <sharedItems containsSemiMixedTypes="0" containsNonDate="0" containsDate="1" containsString="0" minDate="2025-01-03T00:00:00" maxDate="2025-02-08T00:00:00"/>
    </cacheField>
    <cacheField name="Quantity" numFmtId="1">
      <sharedItems containsSemiMixedTypes="0" containsString="0" containsNumber="1" containsInteger="1" minValue="102" maxValue="647"/>
    </cacheField>
    <cacheField name="Unit Price" numFmtId="164">
      <sharedItems containsSemiMixedTypes="0" containsString="0" containsNumber="1" containsInteger="1" minValue="5" maxValue="116"/>
    </cacheField>
    <cacheField name="Purchase Value" numFmtId="164">
      <sharedItems containsSemiMixedTypes="0" containsString="0" containsNumber="1" containsInteger="1" minValue="924" maxValue="63036"/>
    </cacheField>
    <cacheField name="Product_Catergory" numFmtId="0">
      <sharedItems count="5">
        <s v="Grooming Supplies"/>
        <s v="Treats"/>
        <s v="Cat Food"/>
        <s v="Toys"/>
        <s v="Dog Food"/>
      </sharedItems>
    </cacheField>
    <cacheField name="Order_Status" numFmtId="0">
      <sharedItems/>
    </cacheField>
    <cacheField name="General _Status" numFmtId="16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2%"/>
    <n v="6983.16"/>
    <n v="6476.4400000000005"/>
    <n v="6781.3"/>
    <s v="ISSUE"/>
  </r>
  <r>
    <x v="1"/>
    <s v="4%"/>
    <n v="17002.88"/>
    <n v="16295.08"/>
    <n v="14524.68"/>
    <s v="OK"/>
  </r>
  <r>
    <x v="2"/>
    <s v="3%"/>
    <n v="11378.1"/>
    <n v="11205.3"/>
    <n v="10263.81"/>
    <s v="OK"/>
  </r>
  <r>
    <x v="3"/>
    <s v="4%"/>
    <n v="20080.48"/>
    <n v="17997.920000000002"/>
    <n v="18722.16"/>
    <s v="ISSUE"/>
  </r>
  <r>
    <x v="4"/>
    <s v="7%"/>
    <n v="20702.080000000002"/>
    <n v="20069.84"/>
    <n v="19593.210000000003"/>
    <s v="OK"/>
  </r>
  <r>
    <x v="5"/>
    <s v="7%"/>
    <n v="23749.95"/>
    <n v="22511.58"/>
    <n v="20070.050000000003"/>
    <s v="OK"/>
  </r>
  <r>
    <x v="6"/>
    <s v="4%"/>
    <n v="13784.48"/>
    <n v="13633.28"/>
    <n v="13431.52"/>
    <s v="OK"/>
  </r>
  <r>
    <x v="7"/>
    <n v="0.05"/>
    <n v="16639.400000000001"/>
    <n v="15125.25"/>
    <n v="16354.300000000001"/>
    <s v="ISSU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01"/>
    <x v="0"/>
    <s v="Late Shipment"/>
    <s v="Medium"/>
    <x v="0"/>
    <n v="24"/>
    <x v="0"/>
    <x v="0"/>
    <x v="0"/>
  </r>
  <r>
    <n v="102"/>
    <x v="1"/>
    <s v="Product Quality"/>
    <s v="Low"/>
    <x v="1"/>
    <n v="72"/>
    <x v="1"/>
    <x v="0"/>
    <x v="0"/>
  </r>
  <r>
    <n v="103"/>
    <x v="2"/>
    <s v="Product Quality"/>
    <s v="High"/>
    <x v="2"/>
    <n v="72"/>
    <x v="0"/>
    <x v="1"/>
    <x v="0"/>
  </r>
  <r>
    <n v="104"/>
    <x v="2"/>
    <s v="Product Quality"/>
    <s v="High"/>
    <x v="3"/>
    <n v="72"/>
    <x v="2"/>
    <x v="0"/>
    <x v="0"/>
  </r>
  <r>
    <n v="105"/>
    <x v="3"/>
    <s v="Product Quality"/>
    <s v="Low"/>
    <x v="0"/>
    <n v="24"/>
    <x v="3"/>
    <x v="0"/>
    <x v="0"/>
  </r>
  <r>
    <n v="106"/>
    <x v="3"/>
    <s v="Return / Exchange"/>
    <s v="Medium"/>
    <x v="4"/>
    <n v="72"/>
    <x v="4"/>
    <x v="0"/>
    <x v="0"/>
  </r>
  <r>
    <n v="107"/>
    <x v="2"/>
    <s v="Product Quality"/>
    <s v="Medium"/>
    <x v="3"/>
    <n v="48"/>
    <x v="5"/>
    <x v="1"/>
    <x v="0"/>
  </r>
  <r>
    <n v="108"/>
    <x v="0"/>
    <s v="Onboarding"/>
    <s v="Medium"/>
    <x v="2"/>
    <n v="72"/>
    <x v="5"/>
    <x v="0"/>
    <x v="0"/>
  </r>
  <r>
    <n v="109"/>
    <x v="4"/>
    <s v="Return / Exchange"/>
    <s v="Low"/>
    <x v="5"/>
    <n v="72"/>
    <x v="6"/>
    <x v="1"/>
    <x v="0"/>
  </r>
  <r>
    <n v="110"/>
    <x v="4"/>
    <s v="Late Shipment"/>
    <s v="Medium"/>
    <x v="6"/>
    <n v="48"/>
    <x v="7"/>
    <x v="0"/>
    <x v="0"/>
  </r>
  <r>
    <n v="111"/>
    <x v="5"/>
    <s v="Order Error"/>
    <s v="High"/>
    <x v="7"/>
    <n v="24"/>
    <x v="3"/>
    <x v="0"/>
    <x v="0"/>
  </r>
  <r>
    <n v="112"/>
    <x v="5"/>
    <s v="Late Shipment"/>
    <s v="Low"/>
    <x v="8"/>
    <n v="48"/>
    <x v="8"/>
    <x v="0"/>
    <x v="1"/>
  </r>
  <r>
    <n v="113"/>
    <x v="1"/>
    <s v="Onboarding"/>
    <s v="High"/>
    <x v="4"/>
    <n v="48"/>
    <x v="9"/>
    <x v="1"/>
    <x v="0"/>
  </r>
  <r>
    <n v="114"/>
    <x v="6"/>
    <s v="Onboarding"/>
    <s v="Low"/>
    <x v="9"/>
    <n v="48"/>
    <x v="10"/>
    <x v="1"/>
    <x v="0"/>
  </r>
  <r>
    <n v="115"/>
    <x v="0"/>
    <s v="Order Error"/>
    <s v="Medium"/>
    <x v="0"/>
    <n v="72"/>
    <x v="11"/>
    <x v="1"/>
    <x v="0"/>
  </r>
  <r>
    <n v="116"/>
    <x v="0"/>
    <s v="Product Quality"/>
    <s v="Low"/>
    <x v="10"/>
    <n v="24"/>
    <x v="12"/>
    <x v="0"/>
    <x v="1"/>
  </r>
  <r>
    <n v="117"/>
    <x v="7"/>
    <s v="Onboarding"/>
    <s v="High"/>
    <x v="11"/>
    <n v="72"/>
    <x v="13"/>
    <x v="1"/>
    <x v="0"/>
  </r>
  <r>
    <n v="118"/>
    <x v="3"/>
    <s v="Product Quality"/>
    <s v="Medium"/>
    <x v="12"/>
    <n v="48"/>
    <x v="14"/>
    <x v="1"/>
    <x v="0"/>
  </r>
  <r>
    <n v="119"/>
    <x v="3"/>
    <s v="Product Quality"/>
    <s v="Low"/>
    <x v="13"/>
    <n v="48"/>
    <x v="15"/>
    <x v="1"/>
    <x v="0"/>
  </r>
  <r>
    <n v="120"/>
    <x v="3"/>
    <s v="Late Shipment"/>
    <s v="Low"/>
    <x v="14"/>
    <n v="24"/>
    <x v="16"/>
    <x v="1"/>
    <x v="0"/>
  </r>
  <r>
    <n v="121"/>
    <x v="4"/>
    <s v="Onboarding"/>
    <s v="High"/>
    <x v="15"/>
    <n v="72"/>
    <x v="8"/>
    <x v="0"/>
    <x v="1"/>
  </r>
  <r>
    <n v="122"/>
    <x v="7"/>
    <s v="Onboarding"/>
    <s v="Medium"/>
    <x v="16"/>
    <n v="72"/>
    <x v="17"/>
    <x v="0"/>
    <x v="0"/>
  </r>
  <r>
    <n v="123"/>
    <x v="4"/>
    <s v="Product Quality"/>
    <s v="High"/>
    <x v="17"/>
    <n v="24"/>
    <x v="18"/>
    <x v="0"/>
    <x v="0"/>
  </r>
  <r>
    <n v="124"/>
    <x v="1"/>
    <s v="Order Error"/>
    <s v="High"/>
    <x v="16"/>
    <n v="48"/>
    <x v="14"/>
    <x v="1"/>
    <x v="0"/>
  </r>
  <r>
    <n v="125"/>
    <x v="7"/>
    <s v="Onboarding"/>
    <s v="Low"/>
    <x v="7"/>
    <n v="72"/>
    <x v="6"/>
    <x v="1"/>
    <x v="0"/>
  </r>
  <r>
    <n v="126"/>
    <x v="5"/>
    <s v="Return / Exchange"/>
    <s v="Low"/>
    <x v="5"/>
    <n v="48"/>
    <x v="6"/>
    <x v="1"/>
    <x v="0"/>
  </r>
  <r>
    <n v="127"/>
    <x v="6"/>
    <s v="Return / Exchange"/>
    <s v="Medium"/>
    <x v="6"/>
    <n v="24"/>
    <x v="19"/>
    <x v="0"/>
    <x v="0"/>
  </r>
  <r>
    <n v="128"/>
    <x v="2"/>
    <s v="Onboarding"/>
    <s v="Low"/>
    <x v="14"/>
    <n v="24"/>
    <x v="20"/>
    <x v="0"/>
    <x v="0"/>
  </r>
  <r>
    <n v="129"/>
    <x v="7"/>
    <s v="Product Quality"/>
    <s v="Low"/>
    <x v="18"/>
    <n v="24"/>
    <x v="20"/>
    <x v="0"/>
    <x v="0"/>
  </r>
  <r>
    <n v="130"/>
    <x v="2"/>
    <s v="Return / Exchange"/>
    <s v="High"/>
    <x v="7"/>
    <n v="48"/>
    <x v="21"/>
    <x v="1"/>
    <x v="0"/>
  </r>
  <r>
    <n v="131"/>
    <x v="0"/>
    <s v="Return / Exchange"/>
    <s v="Medium"/>
    <x v="6"/>
    <n v="72"/>
    <x v="7"/>
    <x v="0"/>
    <x v="0"/>
  </r>
  <r>
    <n v="132"/>
    <x v="5"/>
    <s v="Late Shipment"/>
    <s v="Low"/>
    <x v="19"/>
    <n v="48"/>
    <x v="14"/>
    <x v="0"/>
    <x v="0"/>
  </r>
  <r>
    <n v="133"/>
    <x v="1"/>
    <s v="Return / Exchange"/>
    <s v="Medium"/>
    <x v="12"/>
    <n v="24"/>
    <x v="17"/>
    <x v="0"/>
    <x v="0"/>
  </r>
  <r>
    <n v="134"/>
    <x v="1"/>
    <s v="Late Shipment"/>
    <s v="Medium"/>
    <x v="7"/>
    <n v="48"/>
    <x v="6"/>
    <x v="1"/>
    <x v="0"/>
  </r>
  <r>
    <n v="135"/>
    <x v="6"/>
    <s v="Onboarding"/>
    <s v="Low"/>
    <x v="2"/>
    <n v="72"/>
    <x v="14"/>
    <x v="1"/>
    <x v="0"/>
  </r>
  <r>
    <n v="136"/>
    <x v="7"/>
    <s v="Return / Exchange"/>
    <s v="High"/>
    <x v="20"/>
    <n v="24"/>
    <x v="5"/>
    <x v="0"/>
    <x v="0"/>
  </r>
  <r>
    <n v="137"/>
    <x v="2"/>
    <s v="Order Error"/>
    <s v="Low"/>
    <x v="21"/>
    <n v="48"/>
    <x v="20"/>
    <x v="1"/>
    <x v="0"/>
  </r>
  <r>
    <n v="138"/>
    <x v="5"/>
    <s v="Product Quality"/>
    <s v="Low"/>
    <x v="22"/>
    <n v="24"/>
    <x v="22"/>
    <x v="1"/>
    <x v="0"/>
  </r>
  <r>
    <n v="139"/>
    <x v="0"/>
    <s v="Product Quality"/>
    <s v="Medium"/>
    <x v="19"/>
    <n v="24"/>
    <x v="22"/>
    <x v="0"/>
    <x v="0"/>
  </r>
  <r>
    <n v="140"/>
    <x v="6"/>
    <s v="Late Shipment"/>
    <s v="Medium"/>
    <x v="9"/>
    <n v="48"/>
    <x v="18"/>
    <x v="1"/>
    <x v="0"/>
  </r>
  <r>
    <n v="141"/>
    <x v="5"/>
    <s v="Late Shipment"/>
    <s v="Medium"/>
    <x v="8"/>
    <n v="72"/>
    <x v="9"/>
    <x v="0"/>
    <x v="1"/>
  </r>
  <r>
    <n v="142"/>
    <x v="4"/>
    <s v="Onboarding"/>
    <s v="High"/>
    <x v="12"/>
    <n v="48"/>
    <x v="23"/>
    <x v="0"/>
    <x v="0"/>
  </r>
  <r>
    <n v="143"/>
    <x v="3"/>
    <s v="Return / Exchange"/>
    <s v="High"/>
    <x v="0"/>
    <n v="24"/>
    <x v="0"/>
    <x v="0"/>
    <x v="0"/>
  </r>
  <r>
    <n v="144"/>
    <x v="0"/>
    <s v="Order Error"/>
    <s v="High"/>
    <x v="23"/>
    <n v="24"/>
    <x v="24"/>
    <x v="0"/>
    <x v="0"/>
  </r>
  <r>
    <n v="145"/>
    <x v="7"/>
    <s v="Order Error"/>
    <s v="Low"/>
    <x v="14"/>
    <n v="48"/>
    <x v="8"/>
    <x v="1"/>
    <x v="0"/>
  </r>
  <r>
    <n v="146"/>
    <x v="7"/>
    <s v="Onboarding"/>
    <s v="Medium"/>
    <x v="18"/>
    <n v="48"/>
    <x v="20"/>
    <x v="0"/>
    <x v="0"/>
  </r>
  <r>
    <n v="147"/>
    <x v="5"/>
    <s v="Return / Exchange"/>
    <s v="Low"/>
    <x v="18"/>
    <n v="24"/>
    <x v="25"/>
    <x v="0"/>
    <x v="0"/>
  </r>
  <r>
    <n v="148"/>
    <x v="7"/>
    <s v="Return / Exchange"/>
    <s v="High"/>
    <x v="24"/>
    <n v="24"/>
    <x v="26"/>
    <x v="0"/>
    <x v="0"/>
  </r>
  <r>
    <n v="149"/>
    <x v="6"/>
    <s v="Order Error"/>
    <s v="Medium"/>
    <x v="11"/>
    <n v="24"/>
    <x v="12"/>
    <x v="0"/>
    <x v="0"/>
  </r>
  <r>
    <n v="150"/>
    <x v="2"/>
    <s v="Return / Exchange"/>
    <s v="Medium"/>
    <x v="6"/>
    <n v="24"/>
    <x v="27"/>
    <x v="0"/>
    <x v="0"/>
  </r>
  <r>
    <n v="151"/>
    <x v="4"/>
    <s v="Onboarding"/>
    <s v="Low"/>
    <x v="25"/>
    <n v="48"/>
    <x v="28"/>
    <x v="1"/>
    <x v="0"/>
  </r>
  <r>
    <n v="152"/>
    <x v="1"/>
    <s v="Late Shipment"/>
    <s v="Medium"/>
    <x v="17"/>
    <n v="72"/>
    <x v="29"/>
    <x v="0"/>
    <x v="0"/>
  </r>
  <r>
    <n v="153"/>
    <x v="4"/>
    <s v="Product Quality"/>
    <s v="Medium"/>
    <x v="0"/>
    <n v="24"/>
    <x v="30"/>
    <x v="1"/>
    <x v="0"/>
  </r>
  <r>
    <n v="154"/>
    <x v="4"/>
    <s v="Late Shipment"/>
    <s v="Medium"/>
    <x v="3"/>
    <n v="48"/>
    <x v="28"/>
    <x v="0"/>
    <x v="0"/>
  </r>
  <r>
    <n v="155"/>
    <x v="5"/>
    <s v="Late Shipment"/>
    <s v="Medium"/>
    <x v="25"/>
    <n v="24"/>
    <x v="16"/>
    <x v="0"/>
    <x v="0"/>
  </r>
  <r>
    <n v="156"/>
    <x v="3"/>
    <s v="Return / Exchange"/>
    <s v="Medium"/>
    <x v="20"/>
    <n v="24"/>
    <x v="30"/>
    <x v="0"/>
    <x v="0"/>
  </r>
  <r>
    <n v="157"/>
    <x v="5"/>
    <s v="Order Error"/>
    <s v="High"/>
    <x v="24"/>
    <n v="48"/>
    <x v="16"/>
    <x v="0"/>
    <x v="0"/>
  </r>
  <r>
    <n v="158"/>
    <x v="4"/>
    <s v="Product Quality"/>
    <s v="Low"/>
    <x v="18"/>
    <n v="48"/>
    <x v="7"/>
    <x v="0"/>
    <x v="1"/>
  </r>
  <r>
    <n v="159"/>
    <x v="5"/>
    <s v="Onboarding"/>
    <s v="Low"/>
    <x v="13"/>
    <n v="72"/>
    <x v="28"/>
    <x v="0"/>
    <x v="0"/>
  </r>
  <r>
    <n v="160"/>
    <x v="1"/>
    <s v="Return / Exchange"/>
    <s v="Medium"/>
    <x v="24"/>
    <n v="72"/>
    <x v="23"/>
    <x v="1"/>
    <x v="0"/>
  </r>
  <r>
    <n v="161"/>
    <x v="1"/>
    <s v="Return / Exchange"/>
    <s v="Low"/>
    <x v="22"/>
    <n v="48"/>
    <x v="14"/>
    <x v="0"/>
    <x v="0"/>
  </r>
  <r>
    <n v="162"/>
    <x v="5"/>
    <s v="Late Shipment"/>
    <s v="Medium"/>
    <x v="10"/>
    <n v="72"/>
    <x v="8"/>
    <x v="1"/>
    <x v="0"/>
  </r>
  <r>
    <n v="163"/>
    <x v="5"/>
    <s v="Product Quality"/>
    <s v="High"/>
    <x v="25"/>
    <n v="48"/>
    <x v="28"/>
    <x v="1"/>
    <x v="0"/>
  </r>
  <r>
    <n v="164"/>
    <x v="1"/>
    <s v="Late Shipment"/>
    <s v="Low"/>
    <x v="2"/>
    <n v="72"/>
    <x v="17"/>
    <x v="0"/>
    <x v="0"/>
  </r>
  <r>
    <n v="165"/>
    <x v="1"/>
    <s v="Return / Exchange"/>
    <s v="Low"/>
    <x v="4"/>
    <n v="72"/>
    <x v="1"/>
    <x v="0"/>
    <x v="0"/>
  </r>
  <r>
    <n v="166"/>
    <x v="2"/>
    <s v="Order Error"/>
    <s v="Medium"/>
    <x v="3"/>
    <n v="72"/>
    <x v="2"/>
    <x v="0"/>
    <x v="0"/>
  </r>
  <r>
    <n v="167"/>
    <x v="0"/>
    <s v="Late Shipment"/>
    <s v="High"/>
    <x v="26"/>
    <n v="24"/>
    <x v="6"/>
    <x v="0"/>
    <x v="0"/>
  </r>
  <r>
    <n v="168"/>
    <x v="4"/>
    <s v="Return / Exchange"/>
    <s v="Low"/>
    <x v="25"/>
    <n v="24"/>
    <x v="8"/>
    <x v="0"/>
    <x v="0"/>
  </r>
  <r>
    <n v="169"/>
    <x v="7"/>
    <s v="Product Quality"/>
    <s v="High"/>
    <x v="19"/>
    <n v="72"/>
    <x v="3"/>
    <x v="0"/>
    <x v="0"/>
  </r>
  <r>
    <n v="170"/>
    <x v="4"/>
    <s v="Return / Exchange"/>
    <s v="Medium"/>
    <x v="5"/>
    <n v="24"/>
    <x v="29"/>
    <x v="0"/>
    <x v="0"/>
  </r>
  <r>
    <n v="171"/>
    <x v="1"/>
    <s v="Late Shipment"/>
    <s v="High"/>
    <x v="1"/>
    <n v="24"/>
    <x v="20"/>
    <x v="0"/>
    <x v="0"/>
  </r>
  <r>
    <n v="172"/>
    <x v="4"/>
    <s v="Late Shipment"/>
    <s v="High"/>
    <x v="25"/>
    <n v="72"/>
    <x v="16"/>
    <x v="0"/>
    <x v="0"/>
  </r>
  <r>
    <n v="173"/>
    <x v="6"/>
    <s v="Product Quality"/>
    <s v="Medium"/>
    <x v="6"/>
    <n v="24"/>
    <x v="19"/>
    <x v="0"/>
    <x v="0"/>
  </r>
  <r>
    <n v="174"/>
    <x v="1"/>
    <s v="Return / Exchange"/>
    <s v="High"/>
    <x v="5"/>
    <n v="24"/>
    <x v="6"/>
    <x v="1"/>
    <x v="0"/>
  </r>
  <r>
    <n v="175"/>
    <x v="1"/>
    <s v="Order Error"/>
    <s v="Low"/>
    <x v="24"/>
    <n v="48"/>
    <x v="24"/>
    <x v="1"/>
    <x v="0"/>
  </r>
  <r>
    <n v="176"/>
    <x v="3"/>
    <s v="Product Quality"/>
    <s v="High"/>
    <x v="2"/>
    <n v="48"/>
    <x v="15"/>
    <x v="0"/>
    <x v="0"/>
  </r>
  <r>
    <n v="177"/>
    <x v="6"/>
    <s v="Late Shipment"/>
    <s v="High"/>
    <x v="25"/>
    <n v="48"/>
    <x v="28"/>
    <x v="1"/>
    <x v="0"/>
  </r>
  <r>
    <n v="178"/>
    <x v="1"/>
    <s v="Product Quality"/>
    <s v="Low"/>
    <x v="13"/>
    <n v="24"/>
    <x v="23"/>
    <x v="0"/>
    <x v="0"/>
  </r>
  <r>
    <n v="179"/>
    <x v="7"/>
    <s v="Late Shipment"/>
    <s v="Medium"/>
    <x v="24"/>
    <n v="24"/>
    <x v="28"/>
    <x v="0"/>
    <x v="0"/>
  </r>
  <r>
    <n v="180"/>
    <x v="3"/>
    <s v="Order Error"/>
    <s v="High"/>
    <x v="20"/>
    <n v="72"/>
    <x v="11"/>
    <x v="1"/>
    <x v="0"/>
  </r>
  <r>
    <n v="181"/>
    <x v="6"/>
    <s v="Order Error"/>
    <s v="High"/>
    <x v="4"/>
    <n v="48"/>
    <x v="27"/>
    <x v="0"/>
    <x v="0"/>
  </r>
  <r>
    <n v="182"/>
    <x v="2"/>
    <s v="Return / Exchange"/>
    <s v="High"/>
    <x v="26"/>
    <n v="72"/>
    <x v="10"/>
    <x v="1"/>
    <x v="1"/>
  </r>
  <r>
    <n v="183"/>
    <x v="5"/>
    <s v="Onboarding"/>
    <s v="High"/>
    <x v="2"/>
    <n v="24"/>
    <x v="23"/>
    <x v="0"/>
    <x v="0"/>
  </r>
  <r>
    <n v="184"/>
    <x v="6"/>
    <s v="Order Error"/>
    <s v="Medium"/>
    <x v="26"/>
    <n v="24"/>
    <x v="21"/>
    <x v="0"/>
    <x v="0"/>
  </r>
  <r>
    <n v="185"/>
    <x v="1"/>
    <s v="Return / Exchange"/>
    <s v="High"/>
    <x v="22"/>
    <n v="24"/>
    <x v="22"/>
    <x v="1"/>
    <x v="0"/>
  </r>
  <r>
    <n v="186"/>
    <x v="3"/>
    <s v="Onboarding"/>
    <s v="Medium"/>
    <x v="22"/>
    <n v="48"/>
    <x v="22"/>
    <x v="1"/>
    <x v="0"/>
  </r>
  <r>
    <n v="187"/>
    <x v="0"/>
    <s v="Order Error"/>
    <s v="Low"/>
    <x v="1"/>
    <n v="72"/>
    <x v="7"/>
    <x v="0"/>
    <x v="0"/>
  </r>
  <r>
    <n v="188"/>
    <x v="1"/>
    <s v="Product Quality"/>
    <s v="Medium"/>
    <x v="2"/>
    <n v="24"/>
    <x v="3"/>
    <x v="1"/>
    <x v="0"/>
  </r>
  <r>
    <n v="189"/>
    <x v="7"/>
    <s v="Order Error"/>
    <s v="Low"/>
    <x v="17"/>
    <n v="72"/>
    <x v="6"/>
    <x v="0"/>
    <x v="0"/>
  </r>
  <r>
    <n v="190"/>
    <x v="2"/>
    <s v="Order Error"/>
    <s v="Low"/>
    <x v="11"/>
    <n v="72"/>
    <x v="8"/>
    <x v="1"/>
    <x v="0"/>
  </r>
  <r>
    <n v="191"/>
    <x v="2"/>
    <s v="Onboarding"/>
    <s v="Low"/>
    <x v="24"/>
    <n v="72"/>
    <x v="28"/>
    <x v="0"/>
    <x v="0"/>
  </r>
  <r>
    <n v="192"/>
    <x v="3"/>
    <s v="Product Quality"/>
    <s v="High"/>
    <x v="26"/>
    <n v="24"/>
    <x v="11"/>
    <x v="0"/>
    <x v="0"/>
  </r>
  <r>
    <n v="193"/>
    <x v="1"/>
    <s v="Onboarding"/>
    <s v="Low"/>
    <x v="16"/>
    <n v="48"/>
    <x v="14"/>
    <x v="1"/>
    <x v="0"/>
  </r>
  <r>
    <n v="194"/>
    <x v="0"/>
    <s v="Onboarding"/>
    <s v="High"/>
    <x v="19"/>
    <n v="72"/>
    <x v="29"/>
    <x v="1"/>
    <x v="0"/>
  </r>
  <r>
    <n v="195"/>
    <x v="6"/>
    <s v="Late Shipment"/>
    <s v="Medium"/>
    <x v="1"/>
    <n v="72"/>
    <x v="1"/>
    <x v="0"/>
    <x v="0"/>
  </r>
  <r>
    <n v="196"/>
    <x v="0"/>
    <s v="Product Quality"/>
    <s v="High"/>
    <x v="7"/>
    <n v="24"/>
    <x v="10"/>
    <x v="1"/>
    <x v="0"/>
  </r>
  <r>
    <n v="197"/>
    <x v="0"/>
    <s v="Product Quality"/>
    <s v="Medium"/>
    <x v="0"/>
    <n v="48"/>
    <x v="3"/>
    <x v="0"/>
    <x v="0"/>
  </r>
  <r>
    <n v="198"/>
    <x v="3"/>
    <s v="Product Quality"/>
    <s v="Low"/>
    <x v="6"/>
    <n v="72"/>
    <x v="7"/>
    <x v="0"/>
    <x v="0"/>
  </r>
  <r>
    <n v="199"/>
    <x v="0"/>
    <s v="Order Error"/>
    <s v="Low"/>
    <x v="15"/>
    <n v="72"/>
    <x v="28"/>
    <x v="1"/>
    <x v="0"/>
  </r>
  <r>
    <n v="200"/>
    <x v="0"/>
    <s v="Product Quality"/>
    <s v="High"/>
    <x v="27"/>
    <n v="72"/>
    <x v="8"/>
    <x v="0"/>
    <x v="0"/>
  </r>
  <r>
    <n v="201"/>
    <x v="3"/>
    <s v="Return / Exchange"/>
    <s v="Medium"/>
    <x v="0"/>
    <n v="24"/>
    <x v="11"/>
    <x v="1"/>
    <x v="0"/>
  </r>
  <r>
    <n v="202"/>
    <x v="4"/>
    <s v="Product Quality"/>
    <s v="Medium"/>
    <x v="21"/>
    <n v="48"/>
    <x v="4"/>
    <x v="0"/>
    <x v="0"/>
  </r>
  <r>
    <n v="203"/>
    <x v="7"/>
    <s v="Return / Exchange"/>
    <s v="Medium"/>
    <x v="9"/>
    <n v="72"/>
    <x v="29"/>
    <x v="0"/>
    <x v="0"/>
  </r>
  <r>
    <n v="204"/>
    <x v="1"/>
    <s v="Product Quality"/>
    <s v="High"/>
    <x v="20"/>
    <n v="24"/>
    <x v="29"/>
    <x v="1"/>
    <x v="0"/>
  </r>
  <r>
    <n v="205"/>
    <x v="3"/>
    <s v="Onboarding"/>
    <s v="Medium"/>
    <x v="13"/>
    <n v="48"/>
    <x v="31"/>
    <x v="0"/>
    <x v="1"/>
  </r>
  <r>
    <n v="206"/>
    <x v="1"/>
    <s v="Return / Exchange"/>
    <s v="High"/>
    <x v="19"/>
    <n v="24"/>
    <x v="11"/>
    <x v="0"/>
    <x v="0"/>
  </r>
  <r>
    <n v="207"/>
    <x v="4"/>
    <s v="Return / Exchange"/>
    <s v="Medium"/>
    <x v="27"/>
    <n v="24"/>
    <x v="16"/>
    <x v="0"/>
    <x v="0"/>
  </r>
  <r>
    <n v="208"/>
    <x v="0"/>
    <s v="Return / Exchange"/>
    <s v="Low"/>
    <x v="21"/>
    <n v="72"/>
    <x v="4"/>
    <x v="0"/>
    <x v="0"/>
  </r>
  <r>
    <n v="209"/>
    <x v="0"/>
    <s v="Product Quality"/>
    <s v="Low"/>
    <x v="24"/>
    <n v="24"/>
    <x v="17"/>
    <x v="1"/>
    <x v="0"/>
  </r>
  <r>
    <n v="210"/>
    <x v="5"/>
    <s v="Return / Exchange"/>
    <s v="Low"/>
    <x v="28"/>
    <n v="72"/>
    <x v="19"/>
    <x v="0"/>
    <x v="0"/>
  </r>
  <r>
    <n v="211"/>
    <x v="5"/>
    <s v="Late Shipment"/>
    <s v="High"/>
    <x v="13"/>
    <n v="72"/>
    <x v="28"/>
    <x v="0"/>
    <x v="0"/>
  </r>
  <r>
    <n v="212"/>
    <x v="2"/>
    <s v="Order Error"/>
    <s v="Medium"/>
    <x v="4"/>
    <n v="48"/>
    <x v="4"/>
    <x v="0"/>
    <x v="0"/>
  </r>
  <r>
    <n v="213"/>
    <x v="5"/>
    <s v="Late Shipment"/>
    <s v="Low"/>
    <x v="11"/>
    <n v="48"/>
    <x v="20"/>
    <x v="0"/>
    <x v="0"/>
  </r>
  <r>
    <n v="214"/>
    <x v="6"/>
    <s v="Product Quality"/>
    <s v="Low"/>
    <x v="26"/>
    <n v="72"/>
    <x v="29"/>
    <x v="0"/>
    <x v="0"/>
  </r>
  <r>
    <n v="215"/>
    <x v="0"/>
    <s v="Product Quality"/>
    <s v="Medium"/>
    <x v="29"/>
    <n v="48"/>
    <x v="4"/>
    <x v="0"/>
    <x v="0"/>
  </r>
  <r>
    <n v="216"/>
    <x v="4"/>
    <s v="Return / Exchange"/>
    <s v="Medium"/>
    <x v="18"/>
    <n v="72"/>
    <x v="13"/>
    <x v="1"/>
    <x v="0"/>
  </r>
  <r>
    <n v="217"/>
    <x v="4"/>
    <s v="Product Quality"/>
    <s v="High"/>
    <x v="26"/>
    <n v="72"/>
    <x v="6"/>
    <x v="0"/>
    <x v="0"/>
  </r>
  <r>
    <n v="218"/>
    <x v="3"/>
    <s v="Order Error"/>
    <s v="Low"/>
    <x v="17"/>
    <n v="48"/>
    <x v="10"/>
    <x v="0"/>
    <x v="0"/>
  </r>
  <r>
    <n v="219"/>
    <x v="4"/>
    <s v="Product Quality"/>
    <s v="Medium"/>
    <x v="7"/>
    <n v="48"/>
    <x v="30"/>
    <x v="0"/>
    <x v="0"/>
  </r>
  <r>
    <n v="220"/>
    <x v="3"/>
    <s v="Product Quality"/>
    <s v="Medium"/>
    <x v="2"/>
    <n v="24"/>
    <x v="15"/>
    <x v="0"/>
    <x v="0"/>
  </r>
  <r>
    <n v="221"/>
    <x v="7"/>
    <s v="Product Quality"/>
    <s v="High"/>
    <x v="19"/>
    <n v="72"/>
    <x v="6"/>
    <x v="1"/>
    <x v="0"/>
  </r>
  <r>
    <n v="222"/>
    <x v="1"/>
    <s v="Late Shipment"/>
    <s v="Low"/>
    <x v="29"/>
    <n v="24"/>
    <x v="32"/>
    <x v="0"/>
    <x v="0"/>
  </r>
  <r>
    <n v="223"/>
    <x v="5"/>
    <s v="Order Error"/>
    <s v="Medium"/>
    <x v="6"/>
    <n v="48"/>
    <x v="7"/>
    <x v="0"/>
    <x v="0"/>
  </r>
  <r>
    <n v="224"/>
    <x v="1"/>
    <s v="Product Quality"/>
    <s v="High"/>
    <x v="2"/>
    <n v="24"/>
    <x v="15"/>
    <x v="0"/>
    <x v="0"/>
  </r>
  <r>
    <n v="225"/>
    <x v="6"/>
    <s v="Product Quality"/>
    <s v="High"/>
    <x v="21"/>
    <n v="48"/>
    <x v="19"/>
    <x v="0"/>
    <x v="0"/>
  </r>
  <r>
    <n v="226"/>
    <x v="2"/>
    <s v="Return / Exchange"/>
    <s v="Low"/>
    <x v="26"/>
    <n v="48"/>
    <x v="29"/>
    <x v="0"/>
    <x v="0"/>
  </r>
  <r>
    <n v="227"/>
    <x v="1"/>
    <s v="Onboarding"/>
    <s v="Medium"/>
    <x v="8"/>
    <n v="48"/>
    <x v="31"/>
    <x v="1"/>
    <x v="0"/>
  </r>
  <r>
    <n v="228"/>
    <x v="4"/>
    <s v="Product Quality"/>
    <s v="High"/>
    <x v="9"/>
    <n v="48"/>
    <x v="6"/>
    <x v="0"/>
    <x v="0"/>
  </r>
  <r>
    <n v="229"/>
    <x v="3"/>
    <s v="Product Quality"/>
    <s v="Medium"/>
    <x v="14"/>
    <n v="72"/>
    <x v="13"/>
    <x v="1"/>
    <x v="0"/>
  </r>
  <r>
    <n v="230"/>
    <x v="5"/>
    <s v="Late Shipment"/>
    <s v="High"/>
    <x v="18"/>
    <n v="48"/>
    <x v="12"/>
    <x v="1"/>
    <x v="0"/>
  </r>
  <r>
    <n v="231"/>
    <x v="3"/>
    <s v="Onboarding"/>
    <s v="High"/>
    <x v="20"/>
    <n v="48"/>
    <x v="29"/>
    <x v="1"/>
    <x v="0"/>
  </r>
  <r>
    <n v="232"/>
    <x v="4"/>
    <s v="Return / Exchange"/>
    <s v="Medium"/>
    <x v="2"/>
    <n v="24"/>
    <x v="3"/>
    <x v="1"/>
    <x v="0"/>
  </r>
  <r>
    <n v="233"/>
    <x v="3"/>
    <s v="Product Quality"/>
    <s v="Low"/>
    <x v="14"/>
    <n v="72"/>
    <x v="25"/>
    <x v="0"/>
    <x v="0"/>
  </r>
  <r>
    <n v="234"/>
    <x v="3"/>
    <s v="Late Shipment"/>
    <s v="Medium"/>
    <x v="1"/>
    <n v="72"/>
    <x v="7"/>
    <x v="0"/>
    <x v="0"/>
  </r>
  <r>
    <n v="235"/>
    <x v="3"/>
    <s v="Return / Exchange"/>
    <s v="Medium"/>
    <x v="25"/>
    <n v="72"/>
    <x v="31"/>
    <x v="1"/>
    <x v="0"/>
  </r>
  <r>
    <n v="236"/>
    <x v="4"/>
    <s v="Onboarding"/>
    <s v="Low"/>
    <x v="29"/>
    <n v="72"/>
    <x v="27"/>
    <x v="1"/>
    <x v="1"/>
  </r>
  <r>
    <n v="237"/>
    <x v="5"/>
    <s v="Product Quality"/>
    <s v="Low"/>
    <x v="3"/>
    <n v="24"/>
    <x v="24"/>
    <x v="0"/>
    <x v="0"/>
  </r>
  <r>
    <n v="238"/>
    <x v="1"/>
    <s v="Return / Exchange"/>
    <s v="Medium"/>
    <x v="29"/>
    <n v="48"/>
    <x v="7"/>
    <x v="1"/>
    <x v="0"/>
  </r>
  <r>
    <n v="239"/>
    <x v="6"/>
    <s v="Order Error"/>
    <s v="Low"/>
    <x v="10"/>
    <n v="24"/>
    <x v="28"/>
    <x v="1"/>
    <x v="0"/>
  </r>
  <r>
    <n v="240"/>
    <x v="2"/>
    <s v="Late Shipment"/>
    <s v="High"/>
    <x v="26"/>
    <n v="24"/>
    <x v="11"/>
    <x v="0"/>
    <x v="0"/>
  </r>
  <r>
    <n v="241"/>
    <x v="7"/>
    <s v="Onboarding"/>
    <s v="High"/>
    <x v="17"/>
    <n v="24"/>
    <x v="11"/>
    <x v="0"/>
    <x v="0"/>
  </r>
  <r>
    <n v="242"/>
    <x v="6"/>
    <s v="Onboarding"/>
    <s v="High"/>
    <x v="28"/>
    <n v="48"/>
    <x v="33"/>
    <x v="0"/>
    <x v="0"/>
  </r>
  <r>
    <n v="243"/>
    <x v="7"/>
    <s v="Onboarding"/>
    <s v="High"/>
    <x v="14"/>
    <n v="72"/>
    <x v="1"/>
    <x v="0"/>
    <x v="0"/>
  </r>
  <r>
    <n v="244"/>
    <x v="2"/>
    <s v="Order Error"/>
    <s v="Medium"/>
    <x v="28"/>
    <n v="48"/>
    <x v="27"/>
    <x v="1"/>
    <x v="0"/>
  </r>
  <r>
    <n v="245"/>
    <x v="1"/>
    <s v="Onboarding"/>
    <s v="Low"/>
    <x v="17"/>
    <n v="72"/>
    <x v="34"/>
    <x v="1"/>
    <x v="0"/>
  </r>
  <r>
    <n v="246"/>
    <x v="0"/>
    <s v="Onboarding"/>
    <s v="High"/>
    <x v="28"/>
    <n v="24"/>
    <x v="32"/>
    <x v="0"/>
    <x v="0"/>
  </r>
  <r>
    <n v="247"/>
    <x v="1"/>
    <s v="Product Quality"/>
    <s v="High"/>
    <x v="1"/>
    <n v="48"/>
    <x v="1"/>
    <x v="0"/>
    <x v="0"/>
  </r>
  <r>
    <n v="248"/>
    <x v="3"/>
    <s v="Onboarding"/>
    <s v="Medium"/>
    <x v="22"/>
    <n v="72"/>
    <x v="17"/>
    <x v="0"/>
    <x v="0"/>
  </r>
  <r>
    <n v="249"/>
    <x v="1"/>
    <s v="Order Error"/>
    <s v="Low"/>
    <x v="4"/>
    <n v="48"/>
    <x v="25"/>
    <x v="0"/>
    <x v="0"/>
  </r>
  <r>
    <n v="250"/>
    <x v="1"/>
    <s v="Order Error"/>
    <s v="Low"/>
    <x v="15"/>
    <n v="48"/>
    <x v="16"/>
    <x v="0"/>
    <x v="0"/>
  </r>
  <r>
    <n v="251"/>
    <x v="3"/>
    <s v="Product Quality"/>
    <s v="High"/>
    <x v="6"/>
    <n v="72"/>
    <x v="27"/>
    <x v="0"/>
    <x v="0"/>
  </r>
  <r>
    <n v="252"/>
    <x v="1"/>
    <s v="Late Shipment"/>
    <s v="Medium"/>
    <x v="15"/>
    <n v="72"/>
    <x v="24"/>
    <x v="1"/>
    <x v="0"/>
  </r>
  <r>
    <n v="253"/>
    <x v="0"/>
    <s v="Late Shipment"/>
    <s v="Low"/>
    <x v="16"/>
    <n v="72"/>
    <x v="15"/>
    <x v="0"/>
    <x v="0"/>
  </r>
  <r>
    <n v="254"/>
    <x v="3"/>
    <s v="Product Quality"/>
    <s v="Medium"/>
    <x v="18"/>
    <n v="48"/>
    <x v="12"/>
    <x v="1"/>
    <x v="0"/>
  </r>
  <r>
    <n v="255"/>
    <x v="1"/>
    <s v="Late Shipment"/>
    <s v="High"/>
    <x v="12"/>
    <n v="72"/>
    <x v="24"/>
    <x v="0"/>
    <x v="1"/>
  </r>
  <r>
    <n v="256"/>
    <x v="6"/>
    <s v="Order Error"/>
    <s v="Low"/>
    <x v="11"/>
    <n v="48"/>
    <x v="12"/>
    <x v="0"/>
    <x v="0"/>
  </r>
  <r>
    <n v="257"/>
    <x v="1"/>
    <s v="Onboarding"/>
    <s v="High"/>
    <x v="5"/>
    <n v="24"/>
    <x v="10"/>
    <x v="1"/>
    <x v="1"/>
  </r>
  <r>
    <n v="258"/>
    <x v="1"/>
    <s v="Onboarding"/>
    <s v="Medium"/>
    <x v="3"/>
    <n v="24"/>
    <x v="5"/>
    <x v="1"/>
    <x v="0"/>
  </r>
  <r>
    <n v="259"/>
    <x v="7"/>
    <s v="Product Quality"/>
    <s v="Low"/>
    <x v="11"/>
    <n v="24"/>
    <x v="31"/>
    <x v="1"/>
    <x v="1"/>
  </r>
  <r>
    <n v="260"/>
    <x v="2"/>
    <s v="Return / Exchange"/>
    <s v="High"/>
    <x v="27"/>
    <n v="24"/>
    <x v="23"/>
    <x v="1"/>
    <x v="0"/>
  </r>
  <r>
    <n v="261"/>
    <x v="4"/>
    <s v="Order Error"/>
    <s v="Medium"/>
    <x v="18"/>
    <n v="72"/>
    <x v="7"/>
    <x v="0"/>
    <x v="1"/>
  </r>
  <r>
    <n v="262"/>
    <x v="3"/>
    <s v="Onboarding"/>
    <s v="High"/>
    <x v="24"/>
    <n v="48"/>
    <x v="28"/>
    <x v="0"/>
    <x v="0"/>
  </r>
  <r>
    <n v="263"/>
    <x v="5"/>
    <s v="Return / Exchange"/>
    <s v="Low"/>
    <x v="13"/>
    <n v="24"/>
    <x v="28"/>
    <x v="0"/>
    <x v="0"/>
  </r>
  <r>
    <n v="264"/>
    <x v="2"/>
    <s v="Return / Exchange"/>
    <s v="Low"/>
    <x v="9"/>
    <n v="48"/>
    <x v="11"/>
    <x v="0"/>
    <x v="0"/>
  </r>
  <r>
    <n v="265"/>
    <x v="1"/>
    <s v="Onboarding"/>
    <s v="Low"/>
    <x v="27"/>
    <n v="48"/>
    <x v="16"/>
    <x v="0"/>
    <x v="0"/>
  </r>
  <r>
    <n v="266"/>
    <x v="4"/>
    <s v="Onboarding"/>
    <s v="High"/>
    <x v="28"/>
    <n v="24"/>
    <x v="1"/>
    <x v="1"/>
    <x v="0"/>
  </r>
  <r>
    <n v="267"/>
    <x v="5"/>
    <s v="Late Shipment"/>
    <s v="Low"/>
    <x v="11"/>
    <n v="48"/>
    <x v="31"/>
    <x v="1"/>
    <x v="0"/>
  </r>
  <r>
    <n v="268"/>
    <x v="7"/>
    <s v="Order Error"/>
    <s v="Medium"/>
    <x v="4"/>
    <n v="72"/>
    <x v="25"/>
    <x v="1"/>
    <x v="0"/>
  </r>
  <r>
    <n v="269"/>
    <x v="3"/>
    <s v="Product Quality"/>
    <s v="Medium"/>
    <x v="20"/>
    <n v="72"/>
    <x v="5"/>
    <x v="0"/>
    <x v="0"/>
  </r>
  <r>
    <n v="270"/>
    <x v="3"/>
    <s v="Return / Exchange"/>
    <s v="Low"/>
    <x v="7"/>
    <n v="48"/>
    <x v="6"/>
    <x v="1"/>
    <x v="0"/>
  </r>
  <r>
    <n v="271"/>
    <x v="5"/>
    <s v="Order Error"/>
    <s v="Medium"/>
    <x v="10"/>
    <n v="72"/>
    <x v="13"/>
    <x v="0"/>
    <x v="0"/>
  </r>
  <r>
    <n v="272"/>
    <x v="2"/>
    <s v="Order Error"/>
    <s v="Low"/>
    <x v="2"/>
    <n v="72"/>
    <x v="23"/>
    <x v="0"/>
    <x v="1"/>
  </r>
  <r>
    <n v="273"/>
    <x v="2"/>
    <s v="Return / Exchange"/>
    <s v="Medium"/>
    <x v="11"/>
    <n v="48"/>
    <x v="12"/>
    <x v="0"/>
    <x v="0"/>
  </r>
  <r>
    <n v="274"/>
    <x v="7"/>
    <s v="Onboarding"/>
    <s v="Medium"/>
    <x v="18"/>
    <n v="24"/>
    <x v="25"/>
    <x v="0"/>
    <x v="0"/>
  </r>
  <r>
    <n v="275"/>
    <x v="1"/>
    <s v="Late Shipment"/>
    <s v="Medium"/>
    <x v="28"/>
    <n v="48"/>
    <x v="4"/>
    <x v="0"/>
    <x v="0"/>
  </r>
  <r>
    <n v="276"/>
    <x v="6"/>
    <s v="Onboarding"/>
    <s v="Low"/>
    <x v="16"/>
    <n v="48"/>
    <x v="17"/>
    <x v="0"/>
    <x v="0"/>
  </r>
  <r>
    <n v="277"/>
    <x v="1"/>
    <s v="Order Error"/>
    <s v="Medium"/>
    <x v="20"/>
    <n v="72"/>
    <x v="11"/>
    <x v="1"/>
    <x v="0"/>
  </r>
  <r>
    <n v="278"/>
    <x v="3"/>
    <s v="Onboarding"/>
    <s v="Low"/>
    <x v="26"/>
    <n v="72"/>
    <x v="30"/>
    <x v="0"/>
    <x v="1"/>
  </r>
  <r>
    <n v="279"/>
    <x v="0"/>
    <s v="Late Shipment"/>
    <s v="High"/>
    <x v="15"/>
    <n v="24"/>
    <x v="31"/>
    <x v="0"/>
    <x v="0"/>
  </r>
  <r>
    <n v="280"/>
    <x v="7"/>
    <s v="Order Error"/>
    <s v="Medium"/>
    <x v="2"/>
    <n v="24"/>
    <x v="14"/>
    <x v="0"/>
    <x v="0"/>
  </r>
  <r>
    <n v="281"/>
    <x v="4"/>
    <s v="Onboarding"/>
    <s v="High"/>
    <x v="16"/>
    <n v="72"/>
    <x v="5"/>
    <x v="1"/>
    <x v="0"/>
  </r>
  <r>
    <n v="282"/>
    <x v="7"/>
    <s v="Late Shipment"/>
    <s v="High"/>
    <x v="14"/>
    <n v="72"/>
    <x v="12"/>
    <x v="1"/>
    <x v="0"/>
  </r>
  <r>
    <n v="283"/>
    <x v="6"/>
    <s v="Late Shipment"/>
    <s v="High"/>
    <x v="5"/>
    <n v="72"/>
    <x v="29"/>
    <x v="1"/>
    <x v="0"/>
  </r>
  <r>
    <n v="284"/>
    <x v="5"/>
    <s v="Late Shipment"/>
    <s v="High"/>
    <x v="17"/>
    <n v="72"/>
    <x v="29"/>
    <x v="0"/>
    <x v="0"/>
  </r>
  <r>
    <n v="285"/>
    <x v="0"/>
    <s v="Late Shipment"/>
    <s v="Low"/>
    <x v="17"/>
    <n v="48"/>
    <x v="21"/>
    <x v="0"/>
    <x v="0"/>
  </r>
  <r>
    <n v="286"/>
    <x v="7"/>
    <s v="Order Error"/>
    <s v="Medium"/>
    <x v="12"/>
    <n v="24"/>
    <x v="15"/>
    <x v="0"/>
    <x v="0"/>
  </r>
  <r>
    <n v="287"/>
    <x v="6"/>
    <s v="Return / Exchange"/>
    <s v="High"/>
    <x v="26"/>
    <n v="72"/>
    <x v="6"/>
    <x v="0"/>
    <x v="0"/>
  </r>
  <r>
    <n v="288"/>
    <x v="6"/>
    <s v="Product Quality"/>
    <s v="Medium"/>
    <x v="11"/>
    <n v="48"/>
    <x v="8"/>
    <x v="1"/>
    <x v="0"/>
  </r>
  <r>
    <n v="289"/>
    <x v="2"/>
    <s v="Return / Exchange"/>
    <s v="Low"/>
    <x v="18"/>
    <n v="72"/>
    <x v="27"/>
    <x v="0"/>
    <x v="0"/>
  </r>
  <r>
    <n v="290"/>
    <x v="1"/>
    <s v="Return / Exchange"/>
    <s v="Medium"/>
    <x v="3"/>
    <n v="72"/>
    <x v="17"/>
    <x v="1"/>
    <x v="0"/>
  </r>
  <r>
    <n v="291"/>
    <x v="1"/>
    <s v="Late Shipment"/>
    <s v="High"/>
    <x v="26"/>
    <n v="48"/>
    <x v="21"/>
    <x v="1"/>
    <x v="0"/>
  </r>
  <r>
    <n v="292"/>
    <x v="6"/>
    <s v="Product Quality"/>
    <s v="High"/>
    <x v="20"/>
    <n v="72"/>
    <x v="11"/>
    <x v="1"/>
    <x v="0"/>
  </r>
  <r>
    <n v="293"/>
    <x v="6"/>
    <s v="Onboarding"/>
    <s v="Low"/>
    <x v="3"/>
    <n v="72"/>
    <x v="2"/>
    <x v="0"/>
    <x v="0"/>
  </r>
  <r>
    <n v="294"/>
    <x v="7"/>
    <s v="Onboarding"/>
    <s v="Medium"/>
    <x v="16"/>
    <n v="24"/>
    <x v="15"/>
    <x v="0"/>
    <x v="0"/>
  </r>
  <r>
    <n v="295"/>
    <x v="1"/>
    <s v="Order Error"/>
    <s v="Medium"/>
    <x v="15"/>
    <n v="48"/>
    <x v="2"/>
    <x v="1"/>
    <x v="0"/>
  </r>
  <r>
    <n v="296"/>
    <x v="5"/>
    <s v="Onboarding"/>
    <s v="Medium"/>
    <x v="13"/>
    <n v="48"/>
    <x v="31"/>
    <x v="0"/>
    <x v="0"/>
  </r>
  <r>
    <n v="297"/>
    <x v="3"/>
    <s v="Return / Exchange"/>
    <s v="Low"/>
    <x v="4"/>
    <n v="48"/>
    <x v="7"/>
    <x v="0"/>
    <x v="1"/>
  </r>
  <r>
    <n v="298"/>
    <x v="1"/>
    <s v="Order Error"/>
    <s v="Medium"/>
    <x v="14"/>
    <n v="72"/>
    <x v="20"/>
    <x v="0"/>
    <x v="0"/>
  </r>
  <r>
    <n v="299"/>
    <x v="2"/>
    <s v="Onboarding"/>
    <s v="Medium"/>
    <x v="24"/>
    <n v="48"/>
    <x v="31"/>
    <x v="0"/>
    <x v="0"/>
  </r>
  <r>
    <n v="300"/>
    <x v="1"/>
    <s v="Onboarding"/>
    <s v="Medium"/>
    <x v="27"/>
    <n v="48"/>
    <x v="24"/>
    <x v="1"/>
    <x v="0"/>
  </r>
  <r>
    <n v="301"/>
    <x v="2"/>
    <s v="Order Error"/>
    <s v="Medium"/>
    <x v="14"/>
    <n v="24"/>
    <x v="25"/>
    <x v="0"/>
    <x v="0"/>
  </r>
  <r>
    <n v="302"/>
    <x v="0"/>
    <s v="Onboarding"/>
    <s v="Medium"/>
    <x v="23"/>
    <n v="72"/>
    <x v="24"/>
    <x v="0"/>
    <x v="0"/>
  </r>
  <r>
    <n v="303"/>
    <x v="2"/>
    <s v="Order Error"/>
    <s v="High"/>
    <x v="25"/>
    <n v="72"/>
    <x v="12"/>
    <x v="0"/>
    <x v="0"/>
  </r>
  <r>
    <n v="304"/>
    <x v="6"/>
    <s v="Return / Exchange"/>
    <s v="Low"/>
    <x v="9"/>
    <n v="72"/>
    <x v="30"/>
    <x v="0"/>
    <x v="0"/>
  </r>
  <r>
    <n v="305"/>
    <x v="1"/>
    <s v="Late Shipment"/>
    <s v="Medium"/>
    <x v="12"/>
    <n v="24"/>
    <x v="15"/>
    <x v="0"/>
    <x v="0"/>
  </r>
  <r>
    <n v="306"/>
    <x v="5"/>
    <s v="Onboarding"/>
    <s v="Medium"/>
    <x v="27"/>
    <n v="48"/>
    <x v="8"/>
    <x v="0"/>
    <x v="0"/>
  </r>
  <r>
    <n v="307"/>
    <x v="4"/>
    <s v="Order Error"/>
    <s v="Medium"/>
    <x v="6"/>
    <n v="24"/>
    <x v="9"/>
    <x v="1"/>
    <x v="0"/>
  </r>
  <r>
    <n v="308"/>
    <x v="5"/>
    <s v="Order Error"/>
    <s v="High"/>
    <x v="11"/>
    <n v="24"/>
    <x v="25"/>
    <x v="0"/>
    <x v="0"/>
  </r>
  <r>
    <n v="309"/>
    <x v="2"/>
    <s v="Late Shipment"/>
    <s v="Low"/>
    <x v="2"/>
    <n v="48"/>
    <x v="15"/>
    <x v="0"/>
    <x v="0"/>
  </r>
  <r>
    <n v="310"/>
    <x v="1"/>
    <s v="Product Quality"/>
    <s v="Medium"/>
    <x v="12"/>
    <n v="72"/>
    <x v="26"/>
    <x v="0"/>
    <x v="0"/>
  </r>
  <r>
    <n v="311"/>
    <x v="4"/>
    <s v="Return / Exchange"/>
    <s v="Medium"/>
    <x v="19"/>
    <n v="72"/>
    <x v="0"/>
    <x v="0"/>
    <x v="0"/>
  </r>
  <r>
    <n v="312"/>
    <x v="1"/>
    <s v="Order Error"/>
    <s v="High"/>
    <x v="1"/>
    <n v="24"/>
    <x v="12"/>
    <x v="0"/>
    <x v="0"/>
  </r>
  <r>
    <n v="313"/>
    <x v="2"/>
    <s v="Order Error"/>
    <s v="High"/>
    <x v="21"/>
    <n v="48"/>
    <x v="27"/>
    <x v="0"/>
    <x v="0"/>
  </r>
  <r>
    <n v="314"/>
    <x v="6"/>
    <s v="Order Error"/>
    <s v="Low"/>
    <x v="16"/>
    <n v="48"/>
    <x v="3"/>
    <x v="1"/>
    <x v="0"/>
  </r>
  <r>
    <n v="315"/>
    <x v="7"/>
    <s v="Return / Exchange"/>
    <s v="High"/>
    <x v="25"/>
    <n v="48"/>
    <x v="12"/>
    <x v="0"/>
    <x v="0"/>
  </r>
  <r>
    <n v="316"/>
    <x v="6"/>
    <s v="Product Quality"/>
    <s v="Medium"/>
    <x v="7"/>
    <n v="24"/>
    <x v="11"/>
    <x v="0"/>
    <x v="0"/>
  </r>
  <r>
    <n v="317"/>
    <x v="0"/>
    <s v="Product Quality"/>
    <s v="High"/>
    <x v="6"/>
    <n v="48"/>
    <x v="19"/>
    <x v="0"/>
    <x v="1"/>
  </r>
  <r>
    <n v="318"/>
    <x v="6"/>
    <s v="Late Shipment"/>
    <s v="Medium"/>
    <x v="7"/>
    <n v="24"/>
    <x v="3"/>
    <x v="0"/>
    <x v="0"/>
  </r>
  <r>
    <n v="319"/>
    <x v="6"/>
    <s v="Onboarding"/>
    <s v="Medium"/>
    <x v="18"/>
    <n v="24"/>
    <x v="13"/>
    <x v="1"/>
    <x v="0"/>
  </r>
  <r>
    <n v="320"/>
    <x v="1"/>
    <s v="Late Shipment"/>
    <s v="High"/>
    <x v="7"/>
    <n v="72"/>
    <x v="11"/>
    <x v="0"/>
    <x v="0"/>
  </r>
  <r>
    <n v="321"/>
    <x v="7"/>
    <s v="Return / Exchange"/>
    <s v="Medium"/>
    <x v="11"/>
    <n v="72"/>
    <x v="8"/>
    <x v="1"/>
    <x v="0"/>
  </r>
  <r>
    <n v="322"/>
    <x v="7"/>
    <s v="Product Quality"/>
    <s v="Low"/>
    <x v="23"/>
    <n v="72"/>
    <x v="0"/>
    <x v="1"/>
    <x v="0"/>
  </r>
  <r>
    <n v="323"/>
    <x v="3"/>
    <s v="Return / Exchange"/>
    <s v="High"/>
    <x v="9"/>
    <n v="48"/>
    <x v="30"/>
    <x v="0"/>
    <x v="0"/>
  </r>
  <r>
    <n v="324"/>
    <x v="1"/>
    <s v="Onboarding"/>
    <s v="Low"/>
    <x v="9"/>
    <n v="24"/>
    <x v="30"/>
    <x v="0"/>
    <x v="0"/>
  </r>
  <r>
    <n v="325"/>
    <x v="0"/>
    <s v="Order Error"/>
    <s v="Low"/>
    <x v="7"/>
    <n v="48"/>
    <x v="30"/>
    <x v="0"/>
    <x v="1"/>
  </r>
  <r>
    <n v="326"/>
    <x v="1"/>
    <s v="Late Shipment"/>
    <s v="Low"/>
    <x v="9"/>
    <n v="24"/>
    <x v="11"/>
    <x v="0"/>
    <x v="0"/>
  </r>
  <r>
    <n v="327"/>
    <x v="5"/>
    <s v="Late Shipment"/>
    <s v="High"/>
    <x v="1"/>
    <n v="72"/>
    <x v="25"/>
    <x v="0"/>
    <x v="0"/>
  </r>
  <r>
    <n v="328"/>
    <x v="1"/>
    <s v="Order Error"/>
    <s v="Low"/>
    <x v="12"/>
    <n v="72"/>
    <x v="24"/>
    <x v="0"/>
    <x v="0"/>
  </r>
  <r>
    <n v="329"/>
    <x v="5"/>
    <s v="Return / Exchange"/>
    <s v="Medium"/>
    <x v="19"/>
    <n v="48"/>
    <x v="30"/>
    <x v="0"/>
    <x v="0"/>
  </r>
  <r>
    <n v="330"/>
    <x v="6"/>
    <s v="Order Error"/>
    <s v="Low"/>
    <x v="29"/>
    <n v="72"/>
    <x v="19"/>
    <x v="0"/>
    <x v="0"/>
  </r>
  <r>
    <n v="331"/>
    <x v="4"/>
    <s v="Return / Exchange"/>
    <s v="Low"/>
    <x v="1"/>
    <n v="24"/>
    <x v="7"/>
    <x v="0"/>
    <x v="0"/>
  </r>
  <r>
    <n v="332"/>
    <x v="3"/>
    <s v="Late Shipment"/>
    <s v="Low"/>
    <x v="27"/>
    <n v="24"/>
    <x v="31"/>
    <x v="0"/>
    <x v="0"/>
  </r>
  <r>
    <n v="333"/>
    <x v="1"/>
    <s v="Late Shipment"/>
    <s v="Low"/>
    <x v="5"/>
    <n v="72"/>
    <x v="0"/>
    <x v="0"/>
    <x v="0"/>
  </r>
  <r>
    <n v="334"/>
    <x v="4"/>
    <s v="Late Shipment"/>
    <s v="Low"/>
    <x v="9"/>
    <n v="48"/>
    <x v="30"/>
    <x v="0"/>
    <x v="0"/>
  </r>
  <r>
    <n v="335"/>
    <x v="7"/>
    <s v="Product Quality"/>
    <s v="Low"/>
    <x v="20"/>
    <n v="72"/>
    <x v="3"/>
    <x v="0"/>
    <x v="0"/>
  </r>
  <r>
    <n v="336"/>
    <x v="2"/>
    <s v="Return / Exchange"/>
    <s v="Medium"/>
    <x v="26"/>
    <n v="48"/>
    <x v="18"/>
    <x v="1"/>
    <x v="0"/>
  </r>
  <r>
    <n v="337"/>
    <x v="6"/>
    <s v="Return / Exchange"/>
    <s v="High"/>
    <x v="2"/>
    <n v="72"/>
    <x v="23"/>
    <x v="0"/>
    <x v="0"/>
  </r>
  <r>
    <n v="338"/>
    <x v="0"/>
    <s v="Onboarding"/>
    <s v="Low"/>
    <x v="28"/>
    <n v="72"/>
    <x v="4"/>
    <x v="1"/>
    <x v="0"/>
  </r>
  <r>
    <n v="339"/>
    <x v="6"/>
    <s v="Late Shipment"/>
    <s v="Medium"/>
    <x v="22"/>
    <n v="48"/>
    <x v="22"/>
    <x v="1"/>
    <x v="0"/>
  </r>
  <r>
    <n v="340"/>
    <x v="7"/>
    <s v="Return / Exchange"/>
    <s v="Medium"/>
    <x v="24"/>
    <n v="72"/>
    <x v="28"/>
    <x v="0"/>
    <x v="1"/>
  </r>
  <r>
    <n v="341"/>
    <x v="1"/>
    <s v="Onboarding"/>
    <s v="Low"/>
    <x v="8"/>
    <n v="48"/>
    <x v="2"/>
    <x v="1"/>
    <x v="0"/>
  </r>
  <r>
    <n v="342"/>
    <x v="2"/>
    <s v="Late Shipment"/>
    <s v="Low"/>
    <x v="3"/>
    <n v="48"/>
    <x v="2"/>
    <x v="0"/>
    <x v="0"/>
  </r>
  <r>
    <n v="343"/>
    <x v="6"/>
    <s v="Product Quality"/>
    <s v="Low"/>
    <x v="27"/>
    <n v="72"/>
    <x v="8"/>
    <x v="0"/>
    <x v="0"/>
  </r>
  <r>
    <n v="344"/>
    <x v="1"/>
    <s v="Late Shipment"/>
    <s v="Low"/>
    <x v="13"/>
    <n v="48"/>
    <x v="31"/>
    <x v="0"/>
    <x v="0"/>
  </r>
  <r>
    <n v="345"/>
    <x v="1"/>
    <s v="Late Shipment"/>
    <s v="High"/>
    <x v="5"/>
    <n v="24"/>
    <x v="11"/>
    <x v="0"/>
    <x v="0"/>
  </r>
  <r>
    <n v="346"/>
    <x v="7"/>
    <s v="Late Shipment"/>
    <s v="High"/>
    <x v="24"/>
    <n v="48"/>
    <x v="31"/>
    <x v="0"/>
    <x v="0"/>
  </r>
  <r>
    <n v="347"/>
    <x v="3"/>
    <s v="Return / Exchange"/>
    <s v="Low"/>
    <x v="15"/>
    <n v="48"/>
    <x v="28"/>
    <x v="0"/>
    <x v="0"/>
  </r>
  <r>
    <n v="348"/>
    <x v="4"/>
    <s v="Product Quality"/>
    <s v="Low"/>
    <x v="25"/>
    <n v="48"/>
    <x v="28"/>
    <x v="1"/>
    <x v="1"/>
  </r>
  <r>
    <n v="349"/>
    <x v="7"/>
    <s v="Return / Exchange"/>
    <s v="Medium"/>
    <x v="26"/>
    <n v="24"/>
    <x v="29"/>
    <x v="0"/>
    <x v="0"/>
  </r>
  <r>
    <n v="350"/>
    <x v="7"/>
    <s v="Product Quality"/>
    <s v="High"/>
    <x v="12"/>
    <n v="24"/>
    <x v="17"/>
    <x v="0"/>
    <x v="0"/>
  </r>
  <r>
    <n v="351"/>
    <x v="2"/>
    <s v="Onboarding"/>
    <s v="Low"/>
    <x v="26"/>
    <n v="48"/>
    <x v="34"/>
    <x v="1"/>
    <x v="0"/>
  </r>
  <r>
    <n v="352"/>
    <x v="7"/>
    <s v="Late Shipment"/>
    <s v="Low"/>
    <x v="9"/>
    <n v="24"/>
    <x v="18"/>
    <x v="1"/>
    <x v="0"/>
  </r>
  <r>
    <n v="353"/>
    <x v="3"/>
    <s v="Order Error"/>
    <s v="Medium"/>
    <x v="24"/>
    <n v="24"/>
    <x v="2"/>
    <x v="0"/>
    <x v="0"/>
  </r>
  <r>
    <n v="354"/>
    <x v="1"/>
    <s v="Order Error"/>
    <s v="Medium"/>
    <x v="3"/>
    <n v="48"/>
    <x v="28"/>
    <x v="0"/>
    <x v="0"/>
  </r>
  <r>
    <n v="355"/>
    <x v="6"/>
    <s v="Product Quality"/>
    <s v="Medium"/>
    <x v="25"/>
    <n v="24"/>
    <x v="8"/>
    <x v="0"/>
    <x v="0"/>
  </r>
  <r>
    <n v="356"/>
    <x v="5"/>
    <s v="Late Shipment"/>
    <s v="Low"/>
    <x v="9"/>
    <n v="72"/>
    <x v="10"/>
    <x v="1"/>
    <x v="0"/>
  </r>
  <r>
    <n v="357"/>
    <x v="4"/>
    <s v="Onboarding"/>
    <s v="High"/>
    <x v="21"/>
    <n v="24"/>
    <x v="4"/>
    <x v="0"/>
    <x v="0"/>
  </r>
  <r>
    <n v="358"/>
    <x v="2"/>
    <s v="Product Quality"/>
    <s v="Medium"/>
    <x v="4"/>
    <n v="48"/>
    <x v="20"/>
    <x v="1"/>
    <x v="0"/>
  </r>
  <r>
    <n v="359"/>
    <x v="3"/>
    <s v="Return / Exchange"/>
    <s v="Low"/>
    <x v="11"/>
    <n v="48"/>
    <x v="12"/>
    <x v="0"/>
    <x v="0"/>
  </r>
  <r>
    <n v="360"/>
    <x v="0"/>
    <s v="Onboarding"/>
    <s v="Medium"/>
    <x v="7"/>
    <n v="72"/>
    <x v="21"/>
    <x v="1"/>
    <x v="0"/>
  </r>
  <r>
    <n v="361"/>
    <x v="0"/>
    <s v="Order Error"/>
    <s v="High"/>
    <x v="25"/>
    <n v="24"/>
    <x v="31"/>
    <x v="0"/>
    <x v="0"/>
  </r>
  <r>
    <n v="362"/>
    <x v="4"/>
    <s v="Order Error"/>
    <s v="Low"/>
    <x v="29"/>
    <n v="48"/>
    <x v="4"/>
    <x v="0"/>
    <x v="0"/>
  </r>
  <r>
    <n v="363"/>
    <x v="7"/>
    <s v="Order Error"/>
    <s v="Medium"/>
    <x v="22"/>
    <n v="72"/>
    <x v="15"/>
    <x v="0"/>
    <x v="0"/>
  </r>
  <r>
    <n v="364"/>
    <x v="3"/>
    <s v="Late Shipment"/>
    <s v="Low"/>
    <x v="0"/>
    <n v="24"/>
    <x v="22"/>
    <x v="0"/>
    <x v="0"/>
  </r>
  <r>
    <n v="365"/>
    <x v="7"/>
    <s v="Order Error"/>
    <s v="Low"/>
    <x v="29"/>
    <n v="24"/>
    <x v="19"/>
    <x v="0"/>
    <x v="0"/>
  </r>
  <r>
    <n v="366"/>
    <x v="7"/>
    <s v="Onboarding"/>
    <s v="Low"/>
    <x v="19"/>
    <n v="72"/>
    <x v="11"/>
    <x v="1"/>
    <x v="0"/>
  </r>
  <r>
    <n v="367"/>
    <x v="7"/>
    <s v="Late Shipment"/>
    <s v="High"/>
    <x v="15"/>
    <n v="48"/>
    <x v="8"/>
    <x v="0"/>
    <x v="0"/>
  </r>
  <r>
    <n v="368"/>
    <x v="0"/>
    <s v="Order Error"/>
    <s v="High"/>
    <x v="12"/>
    <n v="48"/>
    <x v="15"/>
    <x v="1"/>
    <x v="0"/>
  </r>
  <r>
    <n v="369"/>
    <x v="4"/>
    <s v="Product Quality"/>
    <s v="Medium"/>
    <x v="22"/>
    <n v="24"/>
    <x v="5"/>
    <x v="0"/>
    <x v="0"/>
  </r>
  <r>
    <n v="370"/>
    <x v="0"/>
    <s v="Return / Exchange"/>
    <s v="Medium"/>
    <x v="16"/>
    <n v="72"/>
    <x v="14"/>
    <x v="1"/>
    <x v="0"/>
  </r>
  <r>
    <n v="371"/>
    <x v="3"/>
    <s v="Onboarding"/>
    <s v="Low"/>
    <x v="29"/>
    <n v="24"/>
    <x v="27"/>
    <x v="0"/>
    <x v="0"/>
  </r>
  <r>
    <n v="372"/>
    <x v="5"/>
    <s v="Order Error"/>
    <s v="Medium"/>
    <x v="1"/>
    <n v="72"/>
    <x v="1"/>
    <x v="0"/>
    <x v="0"/>
  </r>
  <r>
    <n v="373"/>
    <x v="7"/>
    <s v="Onboarding"/>
    <s v="Low"/>
    <x v="7"/>
    <n v="48"/>
    <x v="22"/>
    <x v="0"/>
    <x v="0"/>
  </r>
  <r>
    <n v="374"/>
    <x v="5"/>
    <s v="Product Quality"/>
    <s v="Medium"/>
    <x v="0"/>
    <n v="72"/>
    <x v="5"/>
    <x v="0"/>
    <x v="0"/>
  </r>
  <r>
    <n v="375"/>
    <x v="6"/>
    <s v="Order Error"/>
    <s v="High"/>
    <x v="13"/>
    <n v="48"/>
    <x v="28"/>
    <x v="0"/>
    <x v="0"/>
  </r>
  <r>
    <n v="376"/>
    <x v="1"/>
    <s v="Onboarding"/>
    <s v="Medium"/>
    <x v="28"/>
    <n v="24"/>
    <x v="19"/>
    <x v="0"/>
    <x v="0"/>
  </r>
  <r>
    <n v="377"/>
    <x v="1"/>
    <s v="Return / Exchange"/>
    <s v="Low"/>
    <x v="4"/>
    <n v="72"/>
    <x v="25"/>
    <x v="1"/>
    <x v="0"/>
  </r>
  <r>
    <n v="378"/>
    <x v="6"/>
    <s v="Late Shipment"/>
    <s v="Medium"/>
    <x v="21"/>
    <n v="24"/>
    <x v="32"/>
    <x v="0"/>
    <x v="0"/>
  </r>
  <r>
    <n v="379"/>
    <x v="7"/>
    <s v="Order Error"/>
    <s v="High"/>
    <x v="5"/>
    <n v="24"/>
    <x v="0"/>
    <x v="0"/>
    <x v="0"/>
  </r>
  <r>
    <n v="380"/>
    <x v="6"/>
    <s v="Onboarding"/>
    <s v="Medium"/>
    <x v="17"/>
    <n v="72"/>
    <x v="21"/>
    <x v="1"/>
    <x v="1"/>
  </r>
  <r>
    <n v="381"/>
    <x v="1"/>
    <s v="Order Error"/>
    <s v="Medium"/>
    <x v="9"/>
    <n v="24"/>
    <x v="11"/>
    <x v="0"/>
    <x v="1"/>
  </r>
  <r>
    <n v="382"/>
    <x v="2"/>
    <s v="Order Error"/>
    <s v="Medium"/>
    <x v="9"/>
    <n v="24"/>
    <x v="30"/>
    <x v="0"/>
    <x v="0"/>
  </r>
  <r>
    <n v="383"/>
    <x v="4"/>
    <s v="Late Shipment"/>
    <s v="Low"/>
    <x v="28"/>
    <n v="48"/>
    <x v="4"/>
    <x v="0"/>
    <x v="0"/>
  </r>
  <r>
    <n v="384"/>
    <x v="2"/>
    <s v="Onboarding"/>
    <s v="High"/>
    <x v="0"/>
    <n v="72"/>
    <x v="15"/>
    <x v="0"/>
    <x v="0"/>
  </r>
  <r>
    <n v="385"/>
    <x v="5"/>
    <s v="Return / Exchange"/>
    <s v="High"/>
    <x v="21"/>
    <n v="24"/>
    <x v="19"/>
    <x v="0"/>
    <x v="0"/>
  </r>
  <r>
    <n v="386"/>
    <x v="3"/>
    <s v="Return / Exchange"/>
    <s v="High"/>
    <x v="16"/>
    <n v="48"/>
    <x v="17"/>
    <x v="0"/>
    <x v="0"/>
  </r>
  <r>
    <n v="387"/>
    <x v="3"/>
    <s v="Late Shipment"/>
    <s v="Low"/>
    <x v="0"/>
    <n v="72"/>
    <x v="14"/>
    <x v="0"/>
    <x v="0"/>
  </r>
  <r>
    <n v="388"/>
    <x v="3"/>
    <s v="Late Shipment"/>
    <s v="Medium"/>
    <x v="28"/>
    <n v="72"/>
    <x v="4"/>
    <x v="1"/>
    <x v="0"/>
  </r>
  <r>
    <n v="389"/>
    <x v="5"/>
    <s v="Onboarding"/>
    <s v="High"/>
    <x v="25"/>
    <n v="24"/>
    <x v="31"/>
    <x v="0"/>
    <x v="0"/>
  </r>
  <r>
    <n v="390"/>
    <x v="3"/>
    <s v="Order Error"/>
    <s v="Medium"/>
    <x v="9"/>
    <n v="24"/>
    <x v="30"/>
    <x v="0"/>
    <x v="0"/>
  </r>
  <r>
    <n v="391"/>
    <x v="3"/>
    <s v="Product Quality"/>
    <s v="Low"/>
    <x v="11"/>
    <n v="24"/>
    <x v="31"/>
    <x v="1"/>
    <x v="0"/>
  </r>
  <r>
    <n v="392"/>
    <x v="0"/>
    <s v="Product Quality"/>
    <s v="Medium"/>
    <x v="1"/>
    <n v="48"/>
    <x v="9"/>
    <x v="0"/>
    <x v="1"/>
  </r>
  <r>
    <n v="393"/>
    <x v="6"/>
    <s v="Order Error"/>
    <s v="Low"/>
    <x v="28"/>
    <n v="72"/>
    <x v="27"/>
    <x v="1"/>
    <x v="1"/>
  </r>
  <r>
    <n v="394"/>
    <x v="7"/>
    <s v="Product Quality"/>
    <s v="High"/>
    <x v="20"/>
    <n v="48"/>
    <x v="14"/>
    <x v="0"/>
    <x v="1"/>
  </r>
  <r>
    <n v="395"/>
    <x v="1"/>
    <s v="Late Shipment"/>
    <s v="Low"/>
    <x v="8"/>
    <n v="72"/>
    <x v="12"/>
    <x v="0"/>
    <x v="0"/>
  </r>
  <r>
    <n v="396"/>
    <x v="4"/>
    <s v="Late Shipment"/>
    <s v="Low"/>
    <x v="3"/>
    <n v="72"/>
    <x v="24"/>
    <x v="0"/>
    <x v="0"/>
  </r>
  <r>
    <n v="397"/>
    <x v="4"/>
    <s v="Return / Exchange"/>
    <s v="Low"/>
    <x v="18"/>
    <n v="72"/>
    <x v="20"/>
    <x v="1"/>
    <x v="0"/>
  </r>
  <r>
    <n v="398"/>
    <x v="6"/>
    <s v="Product Quality"/>
    <s v="Low"/>
    <x v="29"/>
    <n v="24"/>
    <x v="1"/>
    <x v="1"/>
    <x v="0"/>
  </r>
  <r>
    <n v="399"/>
    <x v="1"/>
    <s v="Onboarding"/>
    <s v="Medium"/>
    <x v="3"/>
    <n v="24"/>
    <x v="28"/>
    <x v="0"/>
    <x v="1"/>
  </r>
  <r>
    <n v="400"/>
    <x v="1"/>
    <s v="Return / Exchange"/>
    <s v="High"/>
    <x v="13"/>
    <n v="48"/>
    <x v="17"/>
    <x v="1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d v="2025-01-09T00:00:00"/>
    <d v="2025-01-13T00:00:00"/>
    <n v="225"/>
    <n v="39"/>
    <n v="8775"/>
    <x v="0"/>
    <s v="Delivered"/>
    <s v="Resolved"/>
  </r>
  <r>
    <x v="1"/>
    <x v="1"/>
    <d v="2025-01-25T00:00:00"/>
    <d v="2025-01-31T00:00:00"/>
    <n v="265"/>
    <n v="29"/>
    <n v="7685"/>
    <x v="0"/>
    <s v="Delivered"/>
    <s v="Resolved"/>
  </r>
  <r>
    <x v="2"/>
    <x v="2"/>
    <d v="2025-01-11T00:00:00"/>
    <d v="2025-01-13T00:00:00"/>
    <n v="205"/>
    <n v="20"/>
    <n v="4100"/>
    <x v="1"/>
    <s v="Delivered"/>
    <s v="Resolved"/>
  </r>
  <r>
    <x v="2"/>
    <x v="3"/>
    <d v="2025-01-15T00:00:00"/>
    <d v="2025-01-21T00:00:00"/>
    <n v="439"/>
    <n v="5"/>
    <n v="2195"/>
    <x v="2"/>
    <s v="Delivered"/>
    <s v="Resolved"/>
  </r>
  <r>
    <x v="3"/>
    <x v="4"/>
    <d v="2025-01-09T00:00:00"/>
    <d v="2025-01-12T00:00:00"/>
    <n v="264"/>
    <n v="10"/>
    <n v="2640"/>
    <x v="2"/>
    <s v="Delivered"/>
    <s v="Resolved"/>
  </r>
  <r>
    <x v="3"/>
    <x v="5"/>
    <d v="2025-01-27T00:00:00"/>
    <d v="2025-02-03T00:00:00"/>
    <n v="327"/>
    <n v="18"/>
    <n v="5886"/>
    <x v="2"/>
    <s v="Delivered"/>
    <s v="Resolved"/>
  </r>
  <r>
    <x v="2"/>
    <x v="6"/>
    <d v="2025-01-15T00:00:00"/>
    <d v="2025-01-15T00:00:00"/>
    <n v="219"/>
    <n v="28"/>
    <n v="6132"/>
    <x v="3"/>
    <s v="Delivered"/>
    <s v="Resolved"/>
  </r>
  <r>
    <x v="0"/>
    <x v="7"/>
    <d v="2025-01-11T00:00:00"/>
    <d v="2025-01-15T00:00:00"/>
    <n v="128"/>
    <n v="45"/>
    <n v="5760"/>
    <x v="0"/>
    <s v="Pending"/>
    <s v="Open"/>
  </r>
  <r>
    <x v="4"/>
    <x v="8"/>
    <d v="2025-01-06T00:00:00"/>
    <d v="2025-01-07T00:00:00"/>
    <n v="400"/>
    <n v="19"/>
    <n v="7600"/>
    <x v="2"/>
    <s v="Delivered"/>
    <s v="Resolved"/>
  </r>
  <r>
    <x v="4"/>
    <x v="9"/>
    <d v="2025-01-28T00:00:00"/>
    <d v="2025-02-01T00:00:00"/>
    <n v="113"/>
    <n v="26"/>
    <n v="2938"/>
    <x v="0"/>
    <s v="Delivered"/>
    <s v="Resolved"/>
  </r>
  <r>
    <x v="5"/>
    <x v="10"/>
    <d v="2025-01-05T00:00:00"/>
    <d v="2025-01-12T00:00:00"/>
    <n v="319"/>
    <n v="34"/>
    <n v="10846"/>
    <x v="3"/>
    <s v="Delivered"/>
    <s v="Resolved"/>
  </r>
  <r>
    <x v="5"/>
    <x v="11"/>
    <d v="2025-01-21T00:00:00"/>
    <d v="2025-01-25T00:00:00"/>
    <n v="175"/>
    <n v="13"/>
    <n v="2275"/>
    <x v="1"/>
    <s v="Delivered"/>
    <s v="Resolved"/>
  </r>
  <r>
    <x v="1"/>
    <x v="12"/>
    <d v="2025-01-27T00:00:00"/>
    <d v="2025-01-28T00:00:00"/>
    <n v="243"/>
    <n v="34"/>
    <n v="8262"/>
    <x v="3"/>
    <s v="Delivered"/>
    <s v="Resolved"/>
  </r>
  <r>
    <x v="6"/>
    <x v="13"/>
    <d v="2025-01-04T00:00:00"/>
    <d v="2025-01-06T00:00:00"/>
    <n v="163"/>
    <n v="29"/>
    <n v="4727"/>
    <x v="0"/>
    <s v="Delivered"/>
    <s v="Resolved"/>
  </r>
  <r>
    <x v="0"/>
    <x v="14"/>
    <d v="2025-01-09T00:00:00"/>
    <d v="2025-01-09T00:00:00"/>
    <n v="415"/>
    <n v="65"/>
    <n v="26975"/>
    <x v="4"/>
    <s v="Delivered"/>
    <s v="Resolved"/>
  </r>
  <r>
    <x v="0"/>
    <x v="15"/>
    <d v="2025-01-22T00:00:00"/>
    <d v="2025-01-27T00:00:00"/>
    <n v="355"/>
    <n v="15"/>
    <n v="5325"/>
    <x v="3"/>
    <s v="Delivered"/>
    <s v="Resolved"/>
  </r>
  <r>
    <x v="7"/>
    <x v="16"/>
    <d v="2025-01-23T00:00:00"/>
    <d v="2025-01-26T00:00:00"/>
    <n v="263"/>
    <n v="11"/>
    <n v="2893"/>
    <x v="2"/>
    <s v="Delivered"/>
    <s v="Resolved"/>
  </r>
  <r>
    <x v="3"/>
    <x v="17"/>
    <d v="2025-01-14T00:00:00"/>
    <d v="2025-01-14T00:00:00"/>
    <n v="226"/>
    <n v="21"/>
    <n v="4746"/>
    <x v="1"/>
    <s v="Backordered"/>
    <s v="Open"/>
  </r>
  <r>
    <x v="3"/>
    <x v="18"/>
    <d v="2025-01-16T00:00:00"/>
    <d v="2025-01-16T00:00:00"/>
    <n v="247"/>
    <n v="15"/>
    <n v="3705"/>
    <x v="1"/>
    <s v="Cancelled"/>
    <s v="Open"/>
  </r>
  <r>
    <x v="3"/>
    <x v="19"/>
    <d v="2025-01-24T00:00:00"/>
    <d v="2025-01-24T00:00:00"/>
    <n v="323"/>
    <n v="101"/>
    <n v="32623"/>
    <x v="4"/>
    <s v="Delivered"/>
    <s v="Resolved"/>
  </r>
  <r>
    <x v="4"/>
    <x v="20"/>
    <d v="2025-01-19T00:00:00"/>
    <d v="2025-01-25T00:00:00"/>
    <n v="320"/>
    <n v="23"/>
    <n v="7360"/>
    <x v="2"/>
    <s v="Delivered"/>
    <s v="Resolved"/>
  </r>
  <r>
    <x v="7"/>
    <x v="21"/>
    <d v="2025-01-12T00:00:00"/>
    <d v="2025-01-17T00:00:00"/>
    <n v="499"/>
    <n v="44"/>
    <n v="21956"/>
    <x v="4"/>
    <s v="Delivered"/>
    <s v="Resolved"/>
  </r>
  <r>
    <x v="4"/>
    <x v="22"/>
    <d v="2025-01-02T00:00:00"/>
    <d v="2025-01-04T00:00:00"/>
    <n v="239"/>
    <n v="19"/>
    <n v="4541"/>
    <x v="0"/>
    <s v="Delivered"/>
    <s v="Resolved"/>
  </r>
  <r>
    <x v="1"/>
    <x v="23"/>
    <d v="2025-01-12T00:00:00"/>
    <d v="2025-01-14T00:00:00"/>
    <n v="106"/>
    <n v="11"/>
    <n v="1166"/>
    <x v="0"/>
    <s v="Delivered"/>
    <s v="Resolved"/>
  </r>
  <r>
    <x v="7"/>
    <x v="24"/>
    <d v="2025-01-05T00:00:00"/>
    <d v="2025-01-07T00:00:00"/>
    <n v="350"/>
    <n v="5"/>
    <n v="1750"/>
    <x v="2"/>
    <s v="Delivered"/>
    <s v="Resolved"/>
  </r>
  <r>
    <x v="5"/>
    <x v="25"/>
    <d v="2025-01-06T00:00:00"/>
    <d v="2025-01-07T00:00:00"/>
    <n v="207"/>
    <n v="15"/>
    <n v="3105"/>
    <x v="1"/>
    <s v="Delivered"/>
    <s v="Resolved"/>
  </r>
  <r>
    <x v="6"/>
    <x v="26"/>
    <d v="2025-01-28T00:00:00"/>
    <d v="2025-02-04T00:00:00"/>
    <n v="550"/>
    <n v="41"/>
    <n v="22550"/>
    <x v="4"/>
    <s v="Delivered"/>
    <s v="Resolved"/>
  </r>
  <r>
    <x v="2"/>
    <x v="27"/>
    <d v="2025-01-24T00:00:00"/>
    <d v="2025-01-29T00:00:00"/>
    <n v="342"/>
    <n v="89"/>
    <n v="30438"/>
    <x v="4"/>
    <s v="Delivered"/>
    <s v="Resolved"/>
  </r>
  <r>
    <x v="7"/>
    <x v="28"/>
    <d v="2025-01-26T00:00:00"/>
    <d v="2025-01-29T00:00:00"/>
    <n v="211"/>
    <n v="32"/>
    <n v="6752"/>
    <x v="1"/>
    <s v="Delivered"/>
    <s v="Resolved"/>
  </r>
  <r>
    <x v="2"/>
    <x v="29"/>
    <d v="2025-01-05T00:00:00"/>
    <d v="2025-01-05T00:00:00"/>
    <n v="457"/>
    <n v="10"/>
    <n v="4570"/>
    <x v="2"/>
    <s v="Delivered"/>
    <s v="Resolved"/>
  </r>
  <r>
    <x v="0"/>
    <x v="30"/>
    <d v="2025-01-28T00:00:00"/>
    <d v="2025-02-01T00:00:00"/>
    <n v="236"/>
    <n v="16"/>
    <n v="3776"/>
    <x v="1"/>
    <s v="Delivered"/>
    <s v="Resolved"/>
  </r>
  <r>
    <x v="5"/>
    <x v="31"/>
    <d v="2025-01-07T00:00:00"/>
    <d v="2025-01-14T00:00:00"/>
    <n v="380"/>
    <n v="16"/>
    <n v="6080"/>
    <x v="2"/>
    <s v="Delivered"/>
    <s v="Resolved"/>
  </r>
  <r>
    <x v="1"/>
    <x v="32"/>
    <d v="2025-01-14T00:00:00"/>
    <d v="2025-01-17T00:00:00"/>
    <n v="458"/>
    <n v="16"/>
    <n v="7328"/>
    <x v="2"/>
    <s v="Delivered"/>
    <s v="Resolved"/>
  </r>
  <r>
    <x v="1"/>
    <x v="33"/>
    <d v="2025-01-05T00:00:00"/>
    <d v="2025-01-07T00:00:00"/>
    <n v="251"/>
    <n v="8"/>
    <n v="2008"/>
    <x v="1"/>
    <s v="Delivered"/>
    <s v="Resolved"/>
  </r>
  <r>
    <x v="6"/>
    <x v="34"/>
    <d v="2025-01-11T00:00:00"/>
    <d v="2025-01-14T00:00:00"/>
    <n v="228"/>
    <n v="30"/>
    <n v="6840"/>
    <x v="1"/>
    <s v="Pending"/>
    <s v="Open"/>
  </r>
  <r>
    <x v="7"/>
    <x v="35"/>
    <d v="2025-01-08T00:00:00"/>
    <d v="2025-01-15T00:00:00"/>
    <n v="496"/>
    <n v="49"/>
    <n v="24304"/>
    <x v="4"/>
    <s v="Delivered"/>
    <s v="Resolved"/>
  </r>
  <r>
    <x v="2"/>
    <x v="36"/>
    <d v="2025-01-29T00:00:00"/>
    <d v="2025-01-29T00:00:00"/>
    <n v="356"/>
    <n v="18"/>
    <n v="6408"/>
    <x v="2"/>
    <s v="Delivered"/>
    <s v="Resolved"/>
  </r>
  <r>
    <x v="5"/>
    <x v="37"/>
    <d v="2025-01-10T00:00:00"/>
    <d v="2025-01-11T00:00:00"/>
    <n v="184"/>
    <n v="39"/>
    <n v="7176"/>
    <x v="0"/>
    <s v="Delivered"/>
    <s v="Resolved"/>
  </r>
  <r>
    <x v="0"/>
    <x v="38"/>
    <d v="2025-01-07T00:00:00"/>
    <d v="2025-01-11T00:00:00"/>
    <n v="182"/>
    <n v="17"/>
    <n v="3094"/>
    <x v="1"/>
    <s v="Delivered"/>
    <s v="Resolved"/>
  </r>
  <r>
    <x v="6"/>
    <x v="39"/>
    <d v="2025-01-04T00:00:00"/>
    <d v="2025-01-04T00:00:00"/>
    <n v="544"/>
    <n v="112"/>
    <n v="60928"/>
    <x v="4"/>
    <s v="Delivered"/>
    <s v="Resolved"/>
  </r>
  <r>
    <x v="5"/>
    <x v="40"/>
    <d v="2025-01-21T00:00:00"/>
    <d v="2025-01-28T00:00:00"/>
    <n v="646"/>
    <n v="21"/>
    <n v="13566"/>
    <x v="4"/>
    <s v="Delivered"/>
    <s v="Resolved"/>
  </r>
  <r>
    <x v="4"/>
    <x v="41"/>
    <d v="2025-01-14T00:00:00"/>
    <d v="2025-01-18T00:00:00"/>
    <n v="422"/>
    <n v="27"/>
    <n v="11394"/>
    <x v="4"/>
    <s v="Delivered"/>
    <s v="Resolved"/>
  </r>
  <r>
    <x v="3"/>
    <x v="42"/>
    <d v="2025-01-09T00:00:00"/>
    <d v="2025-01-13T00:00:00"/>
    <n v="174"/>
    <n v="18"/>
    <n v="3132"/>
    <x v="3"/>
    <s v="Pending"/>
    <s v="Open"/>
  </r>
  <r>
    <x v="0"/>
    <x v="43"/>
    <d v="2025-01-13T00:00:00"/>
    <d v="2025-01-19T00:00:00"/>
    <n v="280"/>
    <n v="18"/>
    <n v="5040"/>
    <x v="3"/>
    <s v="Delivered"/>
    <s v="Resolved"/>
  </r>
  <r>
    <x v="7"/>
    <x v="44"/>
    <d v="2025-01-24T00:00:00"/>
    <d v="2025-01-25T00:00:00"/>
    <n v="229"/>
    <n v="6"/>
    <n v="1374"/>
    <x v="3"/>
    <s v="Delivered"/>
    <s v="Resolved"/>
  </r>
  <r>
    <x v="7"/>
    <x v="45"/>
    <d v="2025-01-26T00:00:00"/>
    <d v="2025-01-29T00:00:00"/>
    <n v="326"/>
    <n v="24"/>
    <n v="7824"/>
    <x v="3"/>
    <s v="Delivered"/>
    <s v="Resolved"/>
  </r>
  <r>
    <x v="5"/>
    <x v="46"/>
    <d v="2025-01-26T00:00:00"/>
    <d v="2025-01-30T00:00:00"/>
    <n v="207"/>
    <n v="36"/>
    <n v="7452"/>
    <x v="3"/>
    <s v="Delivered"/>
    <s v="Resolved"/>
  </r>
  <r>
    <x v="7"/>
    <x v="47"/>
    <d v="2025-01-17T00:00:00"/>
    <d v="2025-01-20T00:00:00"/>
    <n v="209"/>
    <n v="15"/>
    <n v="3135"/>
    <x v="1"/>
    <s v="Delivered"/>
    <s v="Resolved"/>
  </r>
  <r>
    <x v="6"/>
    <x v="48"/>
    <d v="2025-01-23T00:00:00"/>
    <d v="2025-01-27T00:00:00"/>
    <n v="165"/>
    <n v="19"/>
    <n v="3135"/>
    <x v="3"/>
    <s v="Delivered"/>
    <s v="Resolved"/>
  </r>
  <r>
    <x v="2"/>
    <x v="49"/>
    <d v="2025-01-28T00:00:00"/>
    <d v="2025-02-02T00:00:00"/>
    <n v="320"/>
    <n v="29"/>
    <n v="9280"/>
    <x v="3"/>
    <s v="Delivered"/>
    <s v="Resolved"/>
  </r>
  <r>
    <x v="4"/>
    <x v="50"/>
    <d v="2025-01-20T00:00:00"/>
    <d v="2025-01-22T00:00:00"/>
    <n v="304"/>
    <n v="12"/>
    <n v="3648"/>
    <x v="3"/>
    <s v="Delivered"/>
    <s v="Resolved"/>
  </r>
  <r>
    <x v="1"/>
    <x v="51"/>
    <d v="2025-01-02T00:00:00"/>
    <d v="2025-01-08T00:00:00"/>
    <n v="164"/>
    <n v="38"/>
    <n v="6232"/>
    <x v="3"/>
    <s v="Delivered"/>
    <s v="Resolved"/>
  </r>
  <r>
    <x v="4"/>
    <x v="52"/>
    <d v="2025-01-09T00:00:00"/>
    <d v="2025-01-10T00:00:00"/>
    <n v="193"/>
    <n v="11"/>
    <n v="2123"/>
    <x v="1"/>
    <s v="Delivered"/>
    <s v="Resolved"/>
  </r>
  <r>
    <x v="4"/>
    <x v="53"/>
    <d v="2025-01-15T00:00:00"/>
    <d v="2025-01-22T00:00:00"/>
    <n v="132"/>
    <n v="15"/>
    <n v="1980"/>
    <x v="1"/>
    <s v="Delivered"/>
    <s v="Resolved"/>
  </r>
  <r>
    <x v="5"/>
    <x v="54"/>
    <d v="2025-01-20T00:00:00"/>
    <d v="2025-01-24T00:00:00"/>
    <n v="202"/>
    <n v="11"/>
    <n v="2222"/>
    <x v="1"/>
    <s v="Delivered"/>
    <s v="Resolved"/>
  </r>
  <r>
    <x v="3"/>
    <x v="55"/>
    <d v="2025-01-08T00:00:00"/>
    <d v="2025-01-10T00:00:00"/>
    <n v="412"/>
    <n v="19"/>
    <n v="7828"/>
    <x v="2"/>
    <s v="Delivered"/>
    <s v="Resolved"/>
  </r>
  <r>
    <x v="5"/>
    <x v="56"/>
    <d v="2025-01-17T00:00:00"/>
    <d v="2025-01-24T00:00:00"/>
    <n v="308"/>
    <n v="71"/>
    <n v="21868"/>
    <x v="4"/>
    <s v="Delivered"/>
    <s v="Resolved"/>
  </r>
  <r>
    <x v="4"/>
    <x v="57"/>
    <d v="2025-01-26T00:00:00"/>
    <d v="2025-02-01T00:00:00"/>
    <n v="191"/>
    <n v="22"/>
    <n v="4202"/>
    <x v="0"/>
    <s v="Pending"/>
    <s v="Open"/>
  </r>
  <r>
    <x v="5"/>
    <x v="58"/>
    <d v="2025-01-16T00:00:00"/>
    <d v="2025-01-22T00:00:00"/>
    <n v="192"/>
    <n v="45"/>
    <n v="8640"/>
    <x v="0"/>
    <s v="Delivered"/>
    <s v="Resolved"/>
  </r>
  <r>
    <x v="1"/>
    <x v="59"/>
    <d v="2025-01-17T00:00:00"/>
    <d v="2025-01-18T00:00:00"/>
    <n v="337"/>
    <n v="35"/>
    <n v="11795"/>
    <x v="3"/>
    <s v="Delivered"/>
    <s v="Resolved"/>
  </r>
  <r>
    <x v="1"/>
    <x v="60"/>
    <d v="2025-01-10T00:00:00"/>
    <d v="2025-01-14T00:00:00"/>
    <n v="621"/>
    <n v="65"/>
    <n v="40365"/>
    <x v="4"/>
    <s v="Delivered"/>
    <s v="Resolved"/>
  </r>
  <r>
    <x v="5"/>
    <x v="61"/>
    <d v="2025-01-22T00:00:00"/>
    <d v="2025-01-25T00:00:00"/>
    <n v="435"/>
    <n v="10"/>
    <n v="4350"/>
    <x v="2"/>
    <s v="Delivered"/>
    <s v="Resolved"/>
  </r>
  <r>
    <x v="5"/>
    <x v="62"/>
    <d v="2025-01-20T00:00:00"/>
    <d v="2025-01-22T00:00:00"/>
    <n v="463"/>
    <n v="15"/>
    <n v="6945"/>
    <x v="2"/>
    <s v="Delivered"/>
    <s v="Resolved"/>
  </r>
  <r>
    <x v="1"/>
    <x v="63"/>
    <d v="2025-01-11T00:00:00"/>
    <d v="2025-01-17T00:00:00"/>
    <n v="148"/>
    <n v="27"/>
    <n v="3996"/>
    <x v="1"/>
    <s v="Delivered"/>
    <s v="Resolved"/>
  </r>
  <r>
    <x v="1"/>
    <x v="64"/>
    <d v="2025-01-27T00:00:00"/>
    <d v="2025-01-31T00:00:00"/>
    <n v="247"/>
    <n v="8"/>
    <n v="1976"/>
    <x v="3"/>
    <s v="Delivered"/>
    <s v="Resolved"/>
  </r>
  <r>
    <x v="2"/>
    <x v="65"/>
    <d v="2025-01-15T00:00:00"/>
    <d v="2025-01-21T00:00:00"/>
    <n v="604"/>
    <n v="36"/>
    <n v="21744"/>
    <x v="4"/>
    <s v="Delivered"/>
    <s v="Resolved"/>
  </r>
  <r>
    <x v="0"/>
    <x v="66"/>
    <d v="2025-01-03T00:00:00"/>
    <d v="2025-01-07T00:00:00"/>
    <n v="473"/>
    <n v="102"/>
    <n v="48246"/>
    <x v="4"/>
    <s v="Delivered"/>
    <s v="Resolved"/>
  </r>
  <r>
    <x v="4"/>
    <x v="67"/>
    <d v="2025-01-20T00:00:00"/>
    <d v="2025-01-25T00:00:00"/>
    <n v="269"/>
    <n v="16"/>
    <n v="4304"/>
    <x v="2"/>
    <s v="Delivered"/>
    <s v="Resolved"/>
  </r>
  <r>
    <x v="7"/>
    <x v="68"/>
    <d v="2025-01-07T00:00:00"/>
    <d v="2025-01-12T00:00:00"/>
    <n v="268"/>
    <n v="10"/>
    <n v="2680"/>
    <x v="0"/>
    <s v="Delivered"/>
    <s v="Resolved"/>
  </r>
  <r>
    <x v="4"/>
    <x v="69"/>
    <d v="2025-01-06T00:00:00"/>
    <d v="2025-01-08T00:00:00"/>
    <n v="343"/>
    <n v="33"/>
    <n v="11319"/>
    <x v="0"/>
    <s v="Delivered"/>
    <s v="Resolved"/>
  </r>
  <r>
    <x v="1"/>
    <x v="70"/>
    <d v="2025-01-25T00:00:00"/>
    <d v="2025-01-29T00:00:00"/>
    <n v="287"/>
    <n v="39"/>
    <n v="11193"/>
    <x v="0"/>
    <s v="Delivered"/>
    <s v="Resolved"/>
  </r>
  <r>
    <x v="4"/>
    <x v="71"/>
    <d v="2025-01-20T00:00:00"/>
    <d v="2025-01-24T00:00:00"/>
    <n v="159"/>
    <n v="9"/>
    <n v="1431"/>
    <x v="1"/>
    <s v="Backordered"/>
    <s v="Open"/>
  </r>
  <r>
    <x v="6"/>
    <x v="72"/>
    <d v="2025-01-28T00:00:00"/>
    <d v="2025-02-04T00:00:00"/>
    <n v="241"/>
    <n v="24"/>
    <n v="5784"/>
    <x v="3"/>
    <s v="Delivered"/>
    <s v="Resolved"/>
  </r>
  <r>
    <x v="1"/>
    <x v="73"/>
    <d v="2025-01-06T00:00:00"/>
    <d v="2025-01-07T00:00:00"/>
    <n v="154"/>
    <n v="43"/>
    <n v="6622"/>
    <x v="0"/>
    <s v="Delivered"/>
    <s v="Resolved"/>
  </r>
  <r>
    <x v="1"/>
    <x v="74"/>
    <d v="2025-01-17T00:00:00"/>
    <d v="2025-01-19T00:00:00"/>
    <n v="174"/>
    <n v="8"/>
    <n v="1392"/>
    <x v="1"/>
    <s v="Delivered"/>
    <s v="Resolved"/>
  </r>
  <r>
    <x v="3"/>
    <x v="75"/>
    <d v="2025-01-11T00:00:00"/>
    <d v="2025-01-16T00:00:00"/>
    <n v="256"/>
    <n v="15"/>
    <n v="3840"/>
    <x v="1"/>
    <s v="Delivered"/>
    <s v="Resolved"/>
  </r>
  <r>
    <x v="6"/>
    <x v="76"/>
    <d v="2025-01-20T00:00:00"/>
    <d v="2025-01-22T00:00:00"/>
    <n v="124"/>
    <n v="20"/>
    <n v="2480"/>
    <x v="0"/>
    <s v="Delivered"/>
    <s v="Resolved"/>
  </r>
  <r>
    <x v="1"/>
    <x v="77"/>
    <d v="2025-01-16T00:00:00"/>
    <d v="2025-01-18T00:00:00"/>
    <n v="252"/>
    <n v="10"/>
    <n v="2520"/>
    <x v="3"/>
    <s v="Pending"/>
    <s v="Open"/>
  </r>
  <r>
    <x v="7"/>
    <x v="78"/>
    <d v="2025-01-17T00:00:00"/>
    <d v="2025-01-22T00:00:00"/>
    <n v="259"/>
    <n v="23"/>
    <n v="5957"/>
    <x v="0"/>
    <s v="Delivered"/>
    <s v="Resolved"/>
  </r>
  <r>
    <x v="3"/>
    <x v="79"/>
    <d v="2025-01-08T00:00:00"/>
    <d v="2025-01-09T00:00:00"/>
    <n v="151"/>
    <n v="14"/>
    <n v="2114"/>
    <x v="0"/>
    <s v="Delivered"/>
    <s v="Resolved"/>
  </r>
  <r>
    <x v="6"/>
    <x v="80"/>
    <d v="2025-01-27T00:00:00"/>
    <d v="2025-02-02T00:00:00"/>
    <n v="492"/>
    <n v="33"/>
    <n v="16236"/>
    <x v="4"/>
    <s v="Delivered"/>
    <s v="Resolved"/>
  </r>
  <r>
    <x v="2"/>
    <x v="81"/>
    <d v="2025-01-03T00:00:00"/>
    <d v="2025-01-06T00:00:00"/>
    <n v="224"/>
    <n v="6"/>
    <n v="1344"/>
    <x v="3"/>
    <s v="Delivered"/>
    <s v="Resolved"/>
  </r>
  <r>
    <x v="5"/>
    <x v="82"/>
    <d v="2025-01-11T00:00:00"/>
    <d v="2025-01-18T00:00:00"/>
    <n v="290"/>
    <n v="18"/>
    <n v="5220"/>
    <x v="2"/>
    <s v="Delivered"/>
    <s v="Resolved"/>
  </r>
  <r>
    <x v="6"/>
    <x v="83"/>
    <d v="2025-01-03T00:00:00"/>
    <d v="2025-01-05T00:00:00"/>
    <n v="355"/>
    <n v="22"/>
    <n v="7810"/>
    <x v="4"/>
    <s v="Cancelled"/>
    <s v="Open"/>
  </r>
  <r>
    <x v="1"/>
    <x v="84"/>
    <d v="2025-01-10T00:00:00"/>
    <d v="2025-01-11T00:00:00"/>
    <n v="176"/>
    <n v="13"/>
    <n v="2288"/>
    <x v="1"/>
    <s v="Delivered"/>
    <s v="Resolved"/>
  </r>
  <r>
    <x v="3"/>
    <x v="85"/>
    <d v="2025-01-10T00:00:00"/>
    <d v="2025-01-11T00:00:00"/>
    <n v="309"/>
    <n v="26"/>
    <n v="8034"/>
    <x v="0"/>
    <s v="Delivered"/>
    <s v="Resolved"/>
  </r>
  <r>
    <x v="0"/>
    <x v="86"/>
    <d v="2025-01-25T00:00:00"/>
    <d v="2025-02-01T00:00:00"/>
    <n v="188"/>
    <n v="24"/>
    <n v="4512"/>
    <x v="1"/>
    <s v="Delivered"/>
    <s v="Resolved"/>
  </r>
  <r>
    <x v="1"/>
    <x v="87"/>
    <d v="2025-01-11T00:00:00"/>
    <d v="2025-01-12T00:00:00"/>
    <n v="184"/>
    <n v="29"/>
    <n v="5336"/>
    <x v="0"/>
    <s v="Delivered"/>
    <s v="Resolved"/>
  </r>
  <r>
    <x v="7"/>
    <x v="88"/>
    <d v="2025-01-02T00:00:00"/>
    <d v="2025-01-07T00:00:00"/>
    <n v="188"/>
    <n v="14"/>
    <n v="2632"/>
    <x v="3"/>
    <s v="Delivered"/>
    <s v="Resolved"/>
  </r>
  <r>
    <x v="2"/>
    <x v="89"/>
    <d v="2025-01-23T00:00:00"/>
    <d v="2025-01-25T00:00:00"/>
    <n v="170"/>
    <n v="32"/>
    <n v="5440"/>
    <x v="1"/>
    <s v="Delivered"/>
    <s v="Resolved"/>
  </r>
  <r>
    <x v="2"/>
    <x v="90"/>
    <d v="2025-01-17T00:00:00"/>
    <d v="2025-01-22T00:00:00"/>
    <n v="269"/>
    <n v="19"/>
    <n v="5111"/>
    <x v="2"/>
    <s v="Delivered"/>
    <s v="Resolved"/>
  </r>
  <r>
    <x v="3"/>
    <x v="91"/>
    <d v="2025-01-03T00:00:00"/>
    <d v="2025-01-09T00:00:00"/>
    <n v="166"/>
    <n v="26"/>
    <n v="4316"/>
    <x v="3"/>
    <s v="Delivered"/>
    <s v="Resolved"/>
  </r>
  <r>
    <x v="1"/>
    <x v="92"/>
    <d v="2025-01-12T00:00:00"/>
    <d v="2025-01-14T00:00:00"/>
    <n v="135"/>
    <n v="42"/>
    <n v="5670"/>
    <x v="0"/>
    <s v="Delivered"/>
    <s v="Resolved"/>
  </r>
  <r>
    <x v="0"/>
    <x v="93"/>
    <d v="2025-01-07T00:00:00"/>
    <d v="2025-01-08T00:00:00"/>
    <n v="466"/>
    <n v="76"/>
    <n v="35416"/>
    <x v="4"/>
    <s v="Delivered"/>
    <s v="Resolved"/>
  </r>
  <r>
    <x v="6"/>
    <x v="94"/>
    <d v="2025-01-25T00:00:00"/>
    <d v="2025-01-31T00:00:00"/>
    <n v="240"/>
    <n v="21"/>
    <n v="5040"/>
    <x v="1"/>
    <s v="Delivered"/>
    <s v="Resolved"/>
  </r>
  <r>
    <x v="0"/>
    <x v="95"/>
    <d v="2025-01-05T00:00:00"/>
    <d v="2025-01-06T00:00:00"/>
    <n v="336"/>
    <n v="12"/>
    <n v="4032"/>
    <x v="3"/>
    <s v="Delivered"/>
    <s v="Resolved"/>
  </r>
  <r>
    <x v="0"/>
    <x v="96"/>
    <d v="2025-01-09T00:00:00"/>
    <d v="2025-01-12T00:00:00"/>
    <n v="230"/>
    <n v="5"/>
    <n v="1150"/>
    <x v="1"/>
    <s v="Delivered"/>
    <s v="Resolved"/>
  </r>
  <r>
    <x v="3"/>
    <x v="97"/>
    <d v="2025-01-28T00:00:00"/>
    <d v="2025-02-01T00:00:00"/>
    <n v="236"/>
    <n v="25"/>
    <n v="5900"/>
    <x v="1"/>
    <s v="Delivered"/>
    <s v="Resolved"/>
  </r>
  <r>
    <x v="0"/>
    <x v="98"/>
    <d v="2025-01-19T00:00:00"/>
    <d v="2025-01-22T00:00:00"/>
    <n v="609"/>
    <n v="82"/>
    <n v="49938"/>
    <x v="4"/>
    <s v="Delivered"/>
    <s v="Resolved"/>
  </r>
  <r>
    <x v="0"/>
    <x v="99"/>
    <d v="2025-01-18T00:00:00"/>
    <d v="2025-01-25T00:00:00"/>
    <n v="195"/>
    <n v="32"/>
    <n v="6240"/>
    <x v="3"/>
    <s v="Delivered"/>
    <s v="Resolved"/>
  </r>
  <r>
    <x v="3"/>
    <x v="100"/>
    <d v="2025-01-09T00:00:00"/>
    <d v="2025-01-09T00:00:00"/>
    <n v="193"/>
    <n v="36"/>
    <n v="6948"/>
    <x v="3"/>
    <s v="Delivered"/>
    <s v="Resolved"/>
  </r>
  <r>
    <x v="4"/>
    <x v="101"/>
    <d v="2025-01-29T00:00:00"/>
    <d v="2025-02-03T00:00:00"/>
    <n v="562"/>
    <n v="94"/>
    <n v="52828"/>
    <x v="4"/>
    <s v="Delivered"/>
    <s v="Resolved"/>
  </r>
  <r>
    <x v="7"/>
    <x v="102"/>
    <d v="2025-01-04T00:00:00"/>
    <d v="2025-01-08T00:00:00"/>
    <n v="210"/>
    <n v="36"/>
    <n v="7560"/>
    <x v="0"/>
    <s v="Delivered"/>
    <s v="Resolved"/>
  </r>
  <r>
    <x v="1"/>
    <x v="103"/>
    <d v="2025-01-08T00:00:00"/>
    <d v="2025-01-08T00:00:00"/>
    <n v="344"/>
    <n v="20"/>
    <n v="6880"/>
    <x v="2"/>
    <s v="Delivered"/>
    <s v="Resolved"/>
  </r>
  <r>
    <x v="3"/>
    <x v="104"/>
    <d v="2025-01-16T00:00:00"/>
    <d v="2025-01-23T00:00:00"/>
    <n v="220"/>
    <n v="9"/>
    <n v="1980"/>
    <x v="1"/>
    <s v="Delivered"/>
    <s v="Resolved"/>
  </r>
  <r>
    <x v="1"/>
    <x v="105"/>
    <d v="2025-01-07T00:00:00"/>
    <d v="2025-01-09T00:00:00"/>
    <n v="475"/>
    <n v="69"/>
    <n v="32775"/>
    <x v="4"/>
    <s v="Delivered"/>
    <s v="Resolved"/>
  </r>
  <r>
    <x v="4"/>
    <x v="106"/>
    <d v="2025-01-18T00:00:00"/>
    <d v="2025-01-24T00:00:00"/>
    <n v="190"/>
    <n v="8"/>
    <n v="1520"/>
    <x v="3"/>
    <s v="Delivered"/>
    <s v="Resolved"/>
  </r>
  <r>
    <x v="0"/>
    <x v="107"/>
    <d v="2025-01-29T00:00:00"/>
    <d v="2025-02-03T00:00:00"/>
    <n v="210"/>
    <n v="19"/>
    <n v="3990"/>
    <x v="3"/>
    <s v="Delivered"/>
    <s v="Resolved"/>
  </r>
  <r>
    <x v="0"/>
    <x v="108"/>
    <d v="2025-01-17T00:00:00"/>
    <d v="2025-01-17T00:00:00"/>
    <n v="334"/>
    <n v="100"/>
    <n v="33400"/>
    <x v="4"/>
    <s v="Delivered"/>
    <s v="Resolved"/>
  </r>
  <r>
    <x v="5"/>
    <x v="109"/>
    <d v="2025-01-31T00:00:00"/>
    <d v="2025-02-04T00:00:00"/>
    <n v="197"/>
    <n v="20"/>
    <n v="3940"/>
    <x v="1"/>
    <s v="Cancelled"/>
    <s v="Open"/>
  </r>
  <r>
    <x v="5"/>
    <x v="110"/>
    <d v="2025-01-16T00:00:00"/>
    <d v="2025-01-22T00:00:00"/>
    <n v="179"/>
    <n v="15"/>
    <n v="2685"/>
    <x v="3"/>
    <s v="Delivered"/>
    <s v="Resolved"/>
  </r>
  <r>
    <x v="2"/>
    <x v="111"/>
    <d v="2025-01-27T00:00:00"/>
    <d v="2025-02-03T00:00:00"/>
    <n v="317"/>
    <n v="23"/>
    <n v="7291"/>
    <x v="2"/>
    <s v="Delivered"/>
    <s v="Resolved"/>
  </r>
  <r>
    <x v="5"/>
    <x v="112"/>
    <d v="2025-01-23T00:00:00"/>
    <d v="2025-01-29T00:00:00"/>
    <n v="250"/>
    <n v="10"/>
    <n v="2500"/>
    <x v="3"/>
    <s v="Delivered"/>
    <s v="Resolved"/>
  </r>
  <r>
    <x v="6"/>
    <x v="113"/>
    <d v="2025-01-03T00:00:00"/>
    <d v="2025-01-08T00:00:00"/>
    <n v="263"/>
    <n v="20"/>
    <n v="5260"/>
    <x v="0"/>
    <s v="Delivered"/>
    <s v="Resolved"/>
  </r>
  <r>
    <x v="0"/>
    <x v="114"/>
    <d v="2025-01-30T00:00:00"/>
    <d v="2025-02-03T00:00:00"/>
    <n v="346"/>
    <n v="16"/>
    <n v="5536"/>
    <x v="3"/>
    <s v="Delivered"/>
    <s v="Resolved"/>
  </r>
  <r>
    <x v="4"/>
    <x v="115"/>
    <d v="2025-01-26T00:00:00"/>
    <d v="2025-01-26T00:00:00"/>
    <n v="246"/>
    <n v="18"/>
    <n v="4428"/>
    <x v="1"/>
    <s v="Delivered"/>
    <s v="Resolved"/>
  </r>
  <r>
    <x v="4"/>
    <x v="116"/>
    <d v="2025-01-03T00:00:00"/>
    <d v="2025-01-07T00:00:00"/>
    <n v="257"/>
    <n v="5"/>
    <n v="1285"/>
    <x v="2"/>
    <s v="Delivered"/>
    <s v="Resolved"/>
  </r>
  <r>
    <x v="3"/>
    <x v="117"/>
    <d v="2025-01-02T00:00:00"/>
    <d v="2025-01-06T00:00:00"/>
    <n v="189"/>
    <n v="20"/>
    <n v="3780"/>
    <x v="3"/>
    <s v="Backordered"/>
    <s v="Open"/>
  </r>
  <r>
    <x v="4"/>
    <x v="118"/>
    <d v="2025-01-05T00:00:00"/>
    <d v="2025-01-10T00:00:00"/>
    <n v="251"/>
    <n v="30"/>
    <n v="7530"/>
    <x v="1"/>
    <s v="Delivered"/>
    <s v="Resolved"/>
  </r>
  <r>
    <x v="3"/>
    <x v="119"/>
    <d v="2025-01-11T00:00:00"/>
    <d v="2025-01-16T00:00:00"/>
    <n v="175"/>
    <n v="28"/>
    <n v="4900"/>
    <x v="0"/>
    <s v="Delivered"/>
    <s v="Resolved"/>
  </r>
  <r>
    <x v="7"/>
    <x v="120"/>
    <d v="2025-01-07T00:00:00"/>
    <d v="2025-01-07T00:00:00"/>
    <n v="388"/>
    <n v="72"/>
    <n v="27936"/>
    <x v="4"/>
    <s v="Delivered"/>
    <s v="Resolved"/>
  </r>
  <r>
    <x v="1"/>
    <x v="121"/>
    <d v="2025-01-30T00:00:00"/>
    <d v="2025-02-05T00:00:00"/>
    <n v="309"/>
    <n v="24"/>
    <n v="7416"/>
    <x v="3"/>
    <s v="Delivered"/>
    <s v="Resolved"/>
  </r>
  <r>
    <x v="5"/>
    <x v="122"/>
    <d v="2025-01-28T00:00:00"/>
    <d v="2025-02-01T00:00:00"/>
    <n v="465"/>
    <n v="61"/>
    <n v="28365"/>
    <x v="4"/>
    <s v="Delivered"/>
    <s v="Resolved"/>
  </r>
  <r>
    <x v="1"/>
    <x v="123"/>
    <d v="2025-01-11T00:00:00"/>
    <d v="2025-01-16T00:00:00"/>
    <n v="191"/>
    <n v="26"/>
    <n v="4966"/>
    <x v="3"/>
    <s v="Delivered"/>
    <s v="Resolved"/>
  </r>
  <r>
    <x v="6"/>
    <x v="124"/>
    <d v="2025-01-29T00:00:00"/>
    <d v="2025-02-04T00:00:00"/>
    <n v="231"/>
    <n v="32"/>
    <n v="7392"/>
    <x v="0"/>
    <s v="Delivered"/>
    <s v="Resolved"/>
  </r>
  <r>
    <x v="2"/>
    <x v="125"/>
    <d v="2025-01-03T00:00:00"/>
    <d v="2025-01-08T00:00:00"/>
    <n v="317"/>
    <n v="73"/>
    <n v="23141"/>
    <x v="4"/>
    <s v="Delivered"/>
    <s v="Resolved"/>
  </r>
  <r>
    <x v="1"/>
    <x v="126"/>
    <d v="2025-01-21T00:00:00"/>
    <d v="2025-01-23T00:00:00"/>
    <n v="154"/>
    <n v="8"/>
    <n v="1232"/>
    <x v="3"/>
    <s v="Delivered"/>
    <s v="Resolved"/>
  </r>
  <r>
    <x v="4"/>
    <x v="127"/>
    <d v="2025-01-04T00:00:00"/>
    <d v="2025-01-07T00:00:00"/>
    <n v="105"/>
    <n v="10"/>
    <n v="1050"/>
    <x v="0"/>
    <s v="Backordered"/>
    <s v="Open"/>
  </r>
  <r>
    <x v="3"/>
    <x v="128"/>
    <d v="2025-01-24T00:00:00"/>
    <d v="2025-01-26T00:00:00"/>
    <n v="275"/>
    <n v="27"/>
    <n v="7425"/>
    <x v="0"/>
    <s v="Delivered"/>
    <s v="Resolved"/>
  </r>
  <r>
    <x v="5"/>
    <x v="129"/>
    <d v="2025-01-26T00:00:00"/>
    <d v="2025-01-27T00:00:00"/>
    <n v="345"/>
    <n v="18"/>
    <n v="6210"/>
    <x v="3"/>
    <s v="Delivered"/>
    <s v="Resolved"/>
  </r>
  <r>
    <x v="3"/>
    <x v="130"/>
    <d v="2025-01-08T00:00:00"/>
    <d v="2025-01-08T00:00:00"/>
    <n v="302"/>
    <n v="22"/>
    <n v="6644"/>
    <x v="0"/>
    <s v="Delivered"/>
    <s v="Resolved"/>
  </r>
  <r>
    <x v="4"/>
    <x v="131"/>
    <d v="2025-01-11T00:00:00"/>
    <d v="2025-01-12T00:00:00"/>
    <n v="142"/>
    <n v="20"/>
    <n v="2840"/>
    <x v="1"/>
    <s v="Delivered"/>
    <s v="Resolved"/>
  </r>
  <r>
    <x v="3"/>
    <x v="132"/>
    <d v="2025-01-24T00:00:00"/>
    <d v="2025-01-30T00:00:00"/>
    <n v="322"/>
    <n v="33"/>
    <n v="10626"/>
    <x v="0"/>
    <s v="Delivered"/>
    <s v="Resolved"/>
  </r>
  <r>
    <x v="3"/>
    <x v="133"/>
    <d v="2025-01-25T00:00:00"/>
    <d v="2025-02-01T00:00:00"/>
    <n v="265"/>
    <n v="9"/>
    <n v="2385"/>
    <x v="3"/>
    <s v="Delivered"/>
    <s v="Resolved"/>
  </r>
  <r>
    <x v="3"/>
    <x v="134"/>
    <d v="2025-01-20T00:00:00"/>
    <d v="2025-01-23T00:00:00"/>
    <n v="544"/>
    <n v="53"/>
    <n v="28832"/>
    <x v="4"/>
    <s v="Delivered"/>
    <s v="Resolved"/>
  </r>
  <r>
    <x v="4"/>
    <x v="135"/>
    <d v="2025-01-30T00:00:00"/>
    <d v="2025-02-02T00:00:00"/>
    <n v="534"/>
    <n v="40"/>
    <n v="21360"/>
    <x v="4"/>
    <s v="Delivered"/>
    <s v="Resolved"/>
  </r>
  <r>
    <x v="5"/>
    <x v="136"/>
    <d v="2025-01-15T00:00:00"/>
    <d v="2025-01-19T00:00:00"/>
    <n v="325"/>
    <n v="9"/>
    <n v="2925"/>
    <x v="2"/>
    <s v="Delivered"/>
    <s v="Resolved"/>
  </r>
  <r>
    <x v="1"/>
    <x v="137"/>
    <d v="2025-01-30T00:00:00"/>
    <d v="2025-02-01T00:00:00"/>
    <n v="393"/>
    <n v="25"/>
    <n v="9825"/>
    <x v="2"/>
    <s v="Delivered"/>
    <s v="Resolved"/>
  </r>
  <r>
    <x v="6"/>
    <x v="138"/>
    <d v="2025-01-22T00:00:00"/>
    <d v="2025-01-22T00:00:00"/>
    <n v="403"/>
    <n v="18"/>
    <n v="7254"/>
    <x v="2"/>
    <s v="Delivered"/>
    <s v="Resolved"/>
  </r>
  <r>
    <x v="2"/>
    <x v="139"/>
    <d v="2025-01-03T00:00:00"/>
    <d v="2025-01-09T00:00:00"/>
    <n v="119"/>
    <n v="23"/>
    <n v="2737"/>
    <x v="1"/>
    <s v="Delivered"/>
    <s v="Resolved"/>
  </r>
  <r>
    <x v="7"/>
    <x v="140"/>
    <d v="2025-01-02T00:00:00"/>
    <d v="2025-01-09T00:00:00"/>
    <n v="418"/>
    <n v="55"/>
    <n v="22990"/>
    <x v="4"/>
    <s v="Pending"/>
    <s v="Open"/>
  </r>
  <r>
    <x v="6"/>
    <x v="141"/>
    <d v="2025-01-31T00:00:00"/>
    <d v="2025-02-07T00:00:00"/>
    <n v="170"/>
    <n v="37"/>
    <n v="6290"/>
    <x v="3"/>
    <s v="Delivered"/>
    <s v="Resolved"/>
  </r>
  <r>
    <x v="7"/>
    <x v="142"/>
    <d v="2025-01-24T00:00:00"/>
    <d v="2025-01-31T00:00:00"/>
    <n v="647"/>
    <n v="58"/>
    <n v="37526"/>
    <x v="4"/>
    <s v="Delivered"/>
    <s v="Resolved"/>
  </r>
  <r>
    <x v="2"/>
    <x v="143"/>
    <d v="2025-01-31T00:00:00"/>
    <d v="2025-02-02T00:00:00"/>
    <n v="270"/>
    <n v="17"/>
    <n v="4590"/>
    <x v="0"/>
    <s v="Delivered"/>
    <s v="Resolved"/>
  </r>
  <r>
    <x v="1"/>
    <x v="144"/>
    <d v="2025-01-02T00:00:00"/>
    <d v="2025-01-03T00:00:00"/>
    <n v="137"/>
    <n v="28"/>
    <n v="3836"/>
    <x v="0"/>
    <s v="Delivered"/>
    <s v="Resolved"/>
  </r>
  <r>
    <x v="0"/>
    <x v="145"/>
    <d v="2025-01-31T00:00:00"/>
    <d v="2025-02-05T00:00:00"/>
    <n v="219"/>
    <n v="14"/>
    <n v="3066"/>
    <x v="3"/>
    <s v="Delivered"/>
    <s v="Resolved"/>
  </r>
  <r>
    <x v="1"/>
    <x v="146"/>
    <d v="2025-01-25T00:00:00"/>
    <d v="2025-01-31T00:00:00"/>
    <n v="193"/>
    <n v="40"/>
    <n v="7720"/>
    <x v="3"/>
    <s v="Delivered"/>
    <s v="Resolved"/>
  </r>
  <r>
    <x v="3"/>
    <x v="147"/>
    <d v="2025-01-10T00:00:00"/>
    <d v="2025-01-17T00:00:00"/>
    <n v="212"/>
    <n v="11"/>
    <n v="2332"/>
    <x v="0"/>
    <s v="Backordered"/>
    <s v="Open"/>
  </r>
  <r>
    <x v="1"/>
    <x v="148"/>
    <d v="2025-01-27T00:00:00"/>
    <d v="2025-01-30T00:00:00"/>
    <n v="230"/>
    <n v="17"/>
    <n v="3910"/>
    <x v="1"/>
    <s v="Cancelled"/>
    <s v="Open"/>
  </r>
  <r>
    <x v="1"/>
    <x v="149"/>
    <d v="2025-01-19T00:00:00"/>
    <d v="2025-01-24T00:00:00"/>
    <n v="223"/>
    <n v="23"/>
    <n v="5129"/>
    <x v="1"/>
    <s v="Delivered"/>
    <s v="Resolved"/>
  </r>
  <r>
    <x v="3"/>
    <x v="150"/>
    <d v="2025-01-28T00:00:00"/>
    <d v="2025-02-02T00:00:00"/>
    <n v="372"/>
    <n v="16"/>
    <n v="5952"/>
    <x v="4"/>
    <s v="Delivered"/>
    <s v="Resolved"/>
  </r>
  <r>
    <x v="1"/>
    <x v="151"/>
    <d v="2025-01-19T00:00:00"/>
    <d v="2025-01-19T00:00:00"/>
    <n v="245"/>
    <n v="24"/>
    <n v="5880"/>
    <x v="1"/>
    <s v="Delivered"/>
    <s v="Resolved"/>
  </r>
  <r>
    <x v="0"/>
    <x v="152"/>
    <d v="2025-01-12T00:00:00"/>
    <d v="2025-01-16T00:00:00"/>
    <n v="485"/>
    <n v="25"/>
    <n v="12125"/>
    <x v="2"/>
    <s v="Delivered"/>
    <s v="Resolved"/>
  </r>
  <r>
    <x v="3"/>
    <x v="153"/>
    <d v="2025-01-26T00:00:00"/>
    <d v="2025-01-27T00:00:00"/>
    <n v="455"/>
    <n v="10"/>
    <n v="4550"/>
    <x v="2"/>
    <s v="Delivered"/>
    <s v="Resolved"/>
  </r>
  <r>
    <x v="1"/>
    <x v="154"/>
    <d v="2025-01-14T00:00:00"/>
    <d v="2025-01-19T00:00:00"/>
    <n v="251"/>
    <n v="18"/>
    <n v="4518"/>
    <x v="3"/>
    <s v="Delivered"/>
    <s v="Resolved"/>
  </r>
  <r>
    <x v="6"/>
    <x v="155"/>
    <d v="2025-01-23T00:00:00"/>
    <d v="2025-01-27T00:00:00"/>
    <n v="186"/>
    <n v="31"/>
    <n v="5766"/>
    <x v="0"/>
    <s v="Delivered"/>
    <s v="Resolved"/>
  </r>
  <r>
    <x v="1"/>
    <x v="156"/>
    <d v="2025-01-06T00:00:00"/>
    <d v="2025-01-06T00:00:00"/>
    <n v="343"/>
    <n v="52"/>
    <n v="17836"/>
    <x v="4"/>
    <s v="Delivered"/>
    <s v="Resolved"/>
  </r>
  <r>
    <x v="1"/>
    <x v="157"/>
    <d v="2025-01-15T00:00:00"/>
    <d v="2025-01-15T00:00:00"/>
    <n v="355"/>
    <n v="21"/>
    <n v="7455"/>
    <x v="2"/>
    <s v="Delivered"/>
    <s v="Resolved"/>
  </r>
  <r>
    <x v="7"/>
    <x v="158"/>
    <d v="2025-01-23T00:00:00"/>
    <d v="2025-01-23T00:00:00"/>
    <n v="151"/>
    <n v="27"/>
    <n v="4077"/>
    <x v="3"/>
    <s v="Delivered"/>
    <s v="Resolved"/>
  </r>
  <r>
    <x v="2"/>
    <x v="159"/>
    <d v="2025-01-18T00:00:00"/>
    <d v="2025-01-18T00:00:00"/>
    <n v="176"/>
    <n v="14"/>
    <n v="2464"/>
    <x v="3"/>
    <s v="Delivered"/>
    <s v="Resolved"/>
  </r>
  <r>
    <x v="4"/>
    <x v="160"/>
    <d v="2025-01-26T00:00:00"/>
    <d v="2025-02-01T00:00:00"/>
    <n v="320"/>
    <n v="27"/>
    <n v="8640"/>
    <x v="0"/>
    <s v="Delivered"/>
    <s v="Resolved"/>
  </r>
  <r>
    <x v="3"/>
    <x v="161"/>
    <d v="2025-01-17T00:00:00"/>
    <d v="2025-01-22T00:00:00"/>
    <n v="110"/>
    <n v="11"/>
    <n v="1210"/>
    <x v="0"/>
    <s v="Delivered"/>
    <s v="Resolved"/>
  </r>
  <r>
    <x v="5"/>
    <x v="162"/>
    <d v="2025-01-16T00:00:00"/>
    <d v="2025-01-22T00:00:00"/>
    <n v="290"/>
    <n v="10"/>
    <n v="2900"/>
    <x v="0"/>
    <s v="Delivered"/>
    <s v="Resolved"/>
  </r>
  <r>
    <x v="2"/>
    <x v="163"/>
    <d v="2025-01-04T00:00:00"/>
    <d v="2025-01-09T00:00:00"/>
    <n v="220"/>
    <n v="21"/>
    <n v="4620"/>
    <x v="1"/>
    <s v="Delivered"/>
    <s v="Resolved"/>
  </r>
  <r>
    <x v="1"/>
    <x v="164"/>
    <d v="2025-01-18T00:00:00"/>
    <d v="2025-01-24T00:00:00"/>
    <n v="273"/>
    <n v="6"/>
    <n v="1638"/>
    <x v="2"/>
    <s v="Delivered"/>
    <s v="Resolved"/>
  </r>
  <r>
    <x v="4"/>
    <x v="165"/>
    <d v="2025-01-31T00:00:00"/>
    <d v="2025-01-31T00:00:00"/>
    <n v="105"/>
    <n v="40"/>
    <n v="4200"/>
    <x v="0"/>
    <s v="Delivered"/>
    <s v="Resolved"/>
  </r>
  <r>
    <x v="5"/>
    <x v="166"/>
    <d v="2025-01-23T00:00:00"/>
    <d v="2025-01-23T00:00:00"/>
    <n v="191"/>
    <n v="20"/>
    <n v="3820"/>
    <x v="3"/>
    <s v="Delivered"/>
    <s v="Resolved"/>
  </r>
  <r>
    <x v="7"/>
    <x v="167"/>
    <d v="2025-01-27T00:00:00"/>
    <d v="2025-01-30T00:00:00"/>
    <n v="305"/>
    <n v="64"/>
    <n v="19520"/>
    <x v="4"/>
    <s v="Delivered"/>
    <s v="Resolved"/>
  </r>
  <r>
    <x v="3"/>
    <x v="168"/>
    <d v="2025-01-08T00:00:00"/>
    <d v="2025-01-15T00:00:00"/>
    <n v="616"/>
    <n v="87"/>
    <n v="53592"/>
    <x v="4"/>
    <s v="Delivered"/>
    <s v="Resolved"/>
  </r>
  <r>
    <x v="3"/>
    <x v="169"/>
    <d v="2025-01-05T00:00:00"/>
    <d v="2025-01-07T00:00:00"/>
    <n v="488"/>
    <n v="7"/>
    <n v="3416"/>
    <x v="2"/>
    <s v="Delivered"/>
    <s v="Resolved"/>
  </r>
  <r>
    <x v="5"/>
    <x v="170"/>
    <d v="2025-01-22T00:00:00"/>
    <d v="2025-01-26T00:00:00"/>
    <n v="647"/>
    <n v="45"/>
    <n v="29115"/>
    <x v="4"/>
    <s v="Delivered"/>
    <s v="Resolved"/>
  </r>
  <r>
    <x v="2"/>
    <x v="171"/>
    <d v="2025-01-11T00:00:00"/>
    <d v="2025-01-18T00:00:00"/>
    <n v="170"/>
    <n v="44"/>
    <n v="7480"/>
    <x v="0"/>
    <s v="Delivered"/>
    <s v="Resolved"/>
  </r>
  <r>
    <x v="2"/>
    <x v="172"/>
    <d v="2025-01-23T00:00:00"/>
    <d v="2025-01-27T00:00:00"/>
    <n v="196"/>
    <n v="41"/>
    <n v="8036"/>
    <x v="0"/>
    <s v="Delivered"/>
    <s v="Resolved"/>
  </r>
  <r>
    <x v="7"/>
    <x v="173"/>
    <d v="2025-01-26T00:00:00"/>
    <d v="2025-01-30T00:00:00"/>
    <n v="138"/>
    <n v="43"/>
    <n v="5934"/>
    <x v="0"/>
    <s v="Delivered"/>
    <s v="Resolved"/>
  </r>
  <r>
    <x v="1"/>
    <x v="174"/>
    <d v="2025-01-31T00:00:00"/>
    <d v="2025-02-03T00:00:00"/>
    <n v="288"/>
    <n v="21"/>
    <n v="6048"/>
    <x v="2"/>
    <s v="Delivered"/>
    <s v="Resolved"/>
  </r>
  <r>
    <x v="6"/>
    <x v="175"/>
    <d v="2025-01-12T00:00:00"/>
    <d v="2025-01-17T00:00:00"/>
    <n v="225"/>
    <n v="35"/>
    <n v="7875"/>
    <x v="3"/>
    <s v="Delivered"/>
    <s v="Resolved"/>
  </r>
  <r>
    <x v="1"/>
    <x v="176"/>
    <d v="2025-01-08T00:00:00"/>
    <d v="2025-01-09T00:00:00"/>
    <n v="423"/>
    <n v="109"/>
    <n v="46107"/>
    <x v="4"/>
    <s v="Delivered"/>
    <s v="Resolved"/>
  </r>
  <r>
    <x v="3"/>
    <x v="177"/>
    <d v="2025-01-03T00:00:00"/>
    <d v="2025-01-10T00:00:00"/>
    <n v="335"/>
    <n v="25"/>
    <n v="8375"/>
    <x v="0"/>
    <s v="Delivered"/>
    <s v="Resolved"/>
  </r>
  <r>
    <x v="0"/>
    <x v="178"/>
    <d v="2025-01-19T00:00:00"/>
    <d v="2025-01-23T00:00:00"/>
    <n v="382"/>
    <n v="10"/>
    <n v="3820"/>
    <x v="2"/>
    <s v="Delivered"/>
    <s v="Resolved"/>
  </r>
  <r>
    <x v="7"/>
    <x v="179"/>
    <d v="2025-01-11T00:00:00"/>
    <d v="2025-01-14T00:00:00"/>
    <n v="140"/>
    <n v="34"/>
    <n v="4760"/>
    <x v="0"/>
    <s v="Delivered"/>
    <s v="Resolved"/>
  </r>
  <r>
    <x v="4"/>
    <x v="180"/>
    <d v="2025-01-12T00:00:00"/>
    <d v="2025-01-15T00:00:00"/>
    <n v="609"/>
    <n v="48"/>
    <n v="29232"/>
    <x v="4"/>
    <s v="Delivered"/>
    <s v="Resolved"/>
  </r>
  <r>
    <x v="7"/>
    <x v="181"/>
    <d v="2025-01-24T00:00:00"/>
    <d v="2025-01-27T00:00:00"/>
    <n v="123"/>
    <n v="17"/>
    <n v="2091"/>
    <x v="1"/>
    <s v="Delivered"/>
    <s v="Resolved"/>
  </r>
  <r>
    <x v="6"/>
    <x v="182"/>
    <d v="2025-01-06T00:00:00"/>
    <d v="2025-01-08T00:00:00"/>
    <n v="217"/>
    <n v="11"/>
    <n v="2387"/>
    <x v="0"/>
    <s v="Delivered"/>
    <s v="Resolved"/>
  </r>
  <r>
    <x v="5"/>
    <x v="183"/>
    <d v="2025-01-02T00:00:00"/>
    <d v="2025-01-08T00:00:00"/>
    <n v="257"/>
    <n v="39"/>
    <n v="10023"/>
    <x v="0"/>
    <s v="Delivered"/>
    <s v="Resolved"/>
  </r>
  <r>
    <x v="0"/>
    <x v="184"/>
    <d v="2025-01-02T00:00:00"/>
    <d v="2025-01-05T00:00:00"/>
    <n v="254"/>
    <n v="28"/>
    <n v="7112"/>
    <x v="0"/>
    <s v="Delivered"/>
    <s v="Resolved"/>
  </r>
  <r>
    <x v="7"/>
    <x v="185"/>
    <d v="2025-01-14T00:00:00"/>
    <d v="2025-01-16T00:00:00"/>
    <n v="231"/>
    <n v="6"/>
    <n v="1386"/>
    <x v="3"/>
    <s v="Pending"/>
    <s v="Open"/>
  </r>
  <r>
    <x v="6"/>
    <x v="186"/>
    <d v="2025-01-03T00:00:00"/>
    <d v="2025-01-07T00:00:00"/>
    <n v="469"/>
    <n v="17"/>
    <n v="7973"/>
    <x v="4"/>
    <s v="Delivered"/>
    <s v="Resolved"/>
  </r>
  <r>
    <x v="6"/>
    <x v="187"/>
    <d v="2025-01-23T00:00:00"/>
    <d v="2025-01-25T00:00:00"/>
    <n v="267"/>
    <n v="20"/>
    <n v="5340"/>
    <x v="0"/>
    <s v="Delivered"/>
    <s v="Resolved"/>
  </r>
  <r>
    <x v="2"/>
    <x v="188"/>
    <d v="2025-01-26T00:00:00"/>
    <d v="2025-02-02T00:00:00"/>
    <n v="199"/>
    <n v="10"/>
    <n v="1990"/>
    <x v="0"/>
    <s v="Delivered"/>
    <s v="Resolved"/>
  </r>
  <r>
    <x v="1"/>
    <x v="189"/>
    <d v="2025-01-15T00:00:00"/>
    <d v="2025-01-17T00:00:00"/>
    <n v="240"/>
    <n v="13"/>
    <n v="3120"/>
    <x v="0"/>
    <s v="Delivered"/>
    <s v="Resolved"/>
  </r>
  <r>
    <x v="1"/>
    <x v="190"/>
    <d v="2025-01-03T00:00:00"/>
    <d v="2025-01-05T00:00:00"/>
    <n v="266"/>
    <n v="13"/>
    <n v="3458"/>
    <x v="2"/>
    <s v="Delivered"/>
    <s v="Resolved"/>
  </r>
  <r>
    <x v="6"/>
    <x v="191"/>
    <d v="2025-01-08T00:00:00"/>
    <d v="2025-01-09T00:00:00"/>
    <n v="158"/>
    <n v="33"/>
    <n v="5214"/>
    <x v="1"/>
    <s v="Cancelled"/>
    <s v="Open"/>
  </r>
  <r>
    <x v="6"/>
    <x v="192"/>
    <d v="2025-01-15T00:00:00"/>
    <d v="2025-01-21T00:00:00"/>
    <n v="254"/>
    <n v="16"/>
    <n v="4064"/>
    <x v="1"/>
    <s v="Delivered"/>
    <s v="Resolved"/>
  </r>
  <r>
    <x v="7"/>
    <x v="193"/>
    <d v="2025-01-12T00:00:00"/>
    <d v="2025-01-16T00:00:00"/>
    <n v="206"/>
    <n v="27"/>
    <n v="5562"/>
    <x v="3"/>
    <s v="Delivered"/>
    <s v="Resolved"/>
  </r>
  <r>
    <x v="1"/>
    <x v="194"/>
    <d v="2025-01-19T00:00:00"/>
    <d v="2025-01-21T00:00:00"/>
    <n v="632"/>
    <n v="35"/>
    <n v="22120"/>
    <x v="4"/>
    <s v="Delivered"/>
    <s v="Resolved"/>
  </r>
  <r>
    <x v="5"/>
    <x v="195"/>
    <d v="2025-01-16T00:00:00"/>
    <d v="2025-01-23T00:00:00"/>
    <n v="416"/>
    <n v="99"/>
    <n v="41184"/>
    <x v="4"/>
    <s v="Delivered"/>
    <s v="Resolved"/>
  </r>
  <r>
    <x v="3"/>
    <x v="196"/>
    <d v="2025-01-27T00:00:00"/>
    <d v="2025-02-01T00:00:00"/>
    <n v="516"/>
    <n v="100"/>
    <n v="51600"/>
    <x v="4"/>
    <s v="Delivered"/>
    <s v="Resolved"/>
  </r>
  <r>
    <x v="1"/>
    <x v="197"/>
    <d v="2025-01-24T00:00:00"/>
    <d v="2025-01-29T00:00:00"/>
    <n v="154"/>
    <n v="6"/>
    <n v="924"/>
    <x v="1"/>
    <s v="Delivered"/>
    <s v="Resolved"/>
  </r>
  <r>
    <x v="2"/>
    <x v="198"/>
    <d v="2025-01-17T00:00:00"/>
    <d v="2025-01-23T00:00:00"/>
    <n v="584"/>
    <n v="73"/>
    <n v="42632"/>
    <x v="4"/>
    <s v="Delivered"/>
    <s v="Resolved"/>
  </r>
  <r>
    <x v="1"/>
    <x v="199"/>
    <d v="2025-01-18T00:00:00"/>
    <d v="2025-01-19T00:00:00"/>
    <n v="370"/>
    <n v="65"/>
    <n v="24050"/>
    <x v="4"/>
    <s v="Pending"/>
    <s v="Open"/>
  </r>
  <r>
    <x v="2"/>
    <x v="200"/>
    <d v="2025-01-24T00:00:00"/>
    <d v="2025-01-30T00:00:00"/>
    <n v="300"/>
    <n v="25"/>
    <n v="7500"/>
    <x v="3"/>
    <s v="Delivered"/>
    <s v="Resolved"/>
  </r>
  <r>
    <x v="0"/>
    <x v="201"/>
    <d v="2025-01-13T00:00:00"/>
    <d v="2025-01-19T00:00:00"/>
    <n v="390"/>
    <n v="6"/>
    <n v="2340"/>
    <x v="2"/>
    <s v="Delivered"/>
    <s v="Resolved"/>
  </r>
  <r>
    <x v="2"/>
    <x v="202"/>
    <d v="2025-01-20T00:00:00"/>
    <d v="2025-01-27T00:00:00"/>
    <n v="156"/>
    <n v="30"/>
    <n v="4680"/>
    <x v="3"/>
    <s v="Delivered"/>
    <s v="Resolved"/>
  </r>
  <r>
    <x v="6"/>
    <x v="203"/>
    <d v="2025-01-04T00:00:00"/>
    <d v="2025-01-10T00:00:00"/>
    <n v="340"/>
    <n v="24"/>
    <n v="8160"/>
    <x v="3"/>
    <s v="Cancelled"/>
    <s v="Open"/>
  </r>
  <r>
    <x v="1"/>
    <x v="204"/>
    <d v="2025-01-14T00:00:00"/>
    <d v="2025-01-16T00:00:00"/>
    <n v="567"/>
    <n v="46"/>
    <n v="26082"/>
    <x v="4"/>
    <s v="Delivered"/>
    <s v="Resolved"/>
  </r>
  <r>
    <x v="5"/>
    <x v="205"/>
    <d v="2025-01-18T00:00:00"/>
    <d v="2025-01-25T00:00:00"/>
    <n v="390"/>
    <n v="10"/>
    <n v="3900"/>
    <x v="2"/>
    <s v="Delivered"/>
    <s v="Resolved"/>
  </r>
  <r>
    <x v="4"/>
    <x v="206"/>
    <d v="2025-01-28T00:00:00"/>
    <d v="2025-01-28T00:00:00"/>
    <n v="334"/>
    <n v="55"/>
    <n v="18370"/>
    <x v="4"/>
    <s v="Delivered"/>
    <s v="Resolved"/>
  </r>
  <r>
    <x v="5"/>
    <x v="207"/>
    <d v="2025-01-23T00:00:00"/>
    <d v="2025-01-30T00:00:00"/>
    <n v="341"/>
    <n v="22"/>
    <n v="7502"/>
    <x v="4"/>
    <s v="Delivered"/>
    <s v="Resolved"/>
  </r>
  <r>
    <x v="2"/>
    <x v="208"/>
    <d v="2025-01-11T00:00:00"/>
    <d v="2025-01-16T00:00:00"/>
    <n v="349"/>
    <n v="13"/>
    <n v="4537"/>
    <x v="0"/>
    <s v="Delivered"/>
    <s v="Resolved"/>
  </r>
  <r>
    <x v="1"/>
    <x v="209"/>
    <d v="2025-01-14T00:00:00"/>
    <d v="2025-01-20T00:00:00"/>
    <n v="241"/>
    <n v="8"/>
    <n v="1928"/>
    <x v="1"/>
    <s v="Delivered"/>
    <s v="Resolved"/>
  </r>
  <r>
    <x v="4"/>
    <x v="210"/>
    <d v="2025-01-07T00:00:00"/>
    <d v="2025-01-13T00:00:00"/>
    <n v="159"/>
    <n v="31"/>
    <n v="4929"/>
    <x v="1"/>
    <s v="Delivered"/>
    <s v="Resolved"/>
  </r>
  <r>
    <x v="1"/>
    <x v="211"/>
    <d v="2025-01-25T00:00:00"/>
    <d v="2025-01-27T00:00:00"/>
    <n v="114"/>
    <n v="34"/>
    <n v="3876"/>
    <x v="0"/>
    <s v="Delivered"/>
    <s v="Resolved"/>
  </r>
  <r>
    <x v="2"/>
    <x v="212"/>
    <d v="2025-01-29T00:00:00"/>
    <d v="2025-02-02T00:00:00"/>
    <n v="421"/>
    <n v="116"/>
    <n v="48836"/>
    <x v="4"/>
    <s v="Delivered"/>
    <s v="Resolved"/>
  </r>
  <r>
    <x v="6"/>
    <x v="213"/>
    <d v="2025-01-12T00:00:00"/>
    <d v="2025-01-12T00:00:00"/>
    <n v="401"/>
    <n v="19"/>
    <n v="7619"/>
    <x v="4"/>
    <s v="Delivered"/>
    <s v="Resolved"/>
  </r>
  <r>
    <x v="7"/>
    <x v="214"/>
    <d v="2025-01-20T00:00:00"/>
    <d v="2025-01-27T00:00:00"/>
    <n v="335"/>
    <n v="32"/>
    <n v="10720"/>
    <x v="0"/>
    <s v="Delivered"/>
    <s v="Resolved"/>
  </r>
  <r>
    <x v="6"/>
    <x v="215"/>
    <d v="2025-01-05T00:00:00"/>
    <d v="2025-01-09T00:00:00"/>
    <n v="102"/>
    <n v="14"/>
    <n v="1428"/>
    <x v="1"/>
    <s v="Delivered"/>
    <s v="Resolved"/>
  </r>
  <r>
    <x v="0"/>
    <x v="216"/>
    <d v="2025-01-28T00:00:00"/>
    <d v="2025-02-04T00:00:00"/>
    <n v="152"/>
    <n v="26"/>
    <n v="3952"/>
    <x v="1"/>
    <s v="Delivered"/>
    <s v="Resolved"/>
  </r>
  <r>
    <x v="6"/>
    <x v="217"/>
    <d v="2025-01-05T00:00:00"/>
    <d v="2025-01-12T00:00:00"/>
    <n v="304"/>
    <n v="7"/>
    <n v="2128"/>
    <x v="3"/>
    <s v="Delivered"/>
    <s v="Resolved"/>
  </r>
  <r>
    <x v="6"/>
    <x v="218"/>
    <d v="2025-01-26T00:00:00"/>
    <d v="2025-01-26T00:00:00"/>
    <n v="612"/>
    <n v="103"/>
    <n v="63036"/>
    <x v="4"/>
    <s v="Delivered"/>
    <s v="Resolved"/>
  </r>
  <r>
    <x v="1"/>
    <x v="219"/>
    <d v="2025-01-05T00:00:00"/>
    <d v="2025-01-09T00:00:00"/>
    <n v="114"/>
    <n v="18"/>
    <n v="2052"/>
    <x v="1"/>
    <s v="Delivered"/>
    <s v="Resolved"/>
  </r>
  <r>
    <x v="7"/>
    <x v="220"/>
    <d v="2025-01-23T00:00:00"/>
    <d v="2025-01-25T00:00:00"/>
    <n v="345"/>
    <n v="5"/>
    <n v="1725"/>
    <x v="3"/>
    <s v="Delivered"/>
    <s v="Resolved"/>
  </r>
  <r>
    <x v="7"/>
    <x v="221"/>
    <d v="2025-01-13T00:00:00"/>
    <d v="2025-01-13T00:00:00"/>
    <n v="249"/>
    <n v="10"/>
    <n v="2490"/>
    <x v="3"/>
    <s v="Delivered"/>
    <s v="Resolved"/>
  </r>
  <r>
    <x v="3"/>
    <x v="222"/>
    <d v="2025-01-04T00:00:00"/>
    <d v="2025-01-10T00:00:00"/>
    <n v="486"/>
    <n v="41"/>
    <n v="19926"/>
    <x v="4"/>
    <s v="Delivered"/>
    <s v="Resolved"/>
  </r>
  <r>
    <x v="1"/>
    <x v="223"/>
    <d v="2025-01-04T00:00:00"/>
    <d v="2025-01-10T00:00:00"/>
    <n v="568"/>
    <n v="38"/>
    <n v="21584"/>
    <x v="4"/>
    <s v="Pending"/>
    <s v="Open"/>
  </r>
  <r>
    <x v="0"/>
    <x v="224"/>
    <d v="2025-01-05T00:00:00"/>
    <d v="2025-01-10T00:00:00"/>
    <n v="332"/>
    <n v="40"/>
    <n v="13280"/>
    <x v="3"/>
    <s v="Delivered"/>
    <s v="Resolved"/>
  </r>
  <r>
    <x v="1"/>
    <x v="225"/>
    <d v="2025-01-04T00:00:00"/>
    <d v="2025-01-09T00:00:00"/>
    <n v="470"/>
    <n v="22"/>
    <n v="10340"/>
    <x v="2"/>
    <s v="Delivered"/>
    <s v="Resolved"/>
  </r>
  <r>
    <x v="5"/>
    <x v="226"/>
    <d v="2025-01-25T00:00:00"/>
    <d v="2025-01-30T00:00:00"/>
    <n v="291"/>
    <n v="27"/>
    <n v="7857"/>
    <x v="0"/>
    <s v="Delivered"/>
    <s v="Resolved"/>
  </r>
  <r>
    <x v="1"/>
    <x v="227"/>
    <d v="2025-01-14T00:00:00"/>
    <d v="2025-01-19T00:00:00"/>
    <n v="139"/>
    <n v="9"/>
    <n v="1251"/>
    <x v="1"/>
    <s v="Delivered"/>
    <s v="Resolved"/>
  </r>
  <r>
    <x v="5"/>
    <x v="228"/>
    <d v="2025-01-07T00:00:00"/>
    <d v="2025-01-10T00:00:00"/>
    <n v="268"/>
    <n v="19"/>
    <n v="5092"/>
    <x v="0"/>
    <s v="Cancelled"/>
    <s v="Open"/>
  </r>
  <r>
    <x v="6"/>
    <x v="229"/>
    <d v="2025-01-30T00:00:00"/>
    <d v="2025-02-04T00:00:00"/>
    <n v="130"/>
    <n v="32"/>
    <n v="4160"/>
    <x v="1"/>
    <s v="Delivered"/>
    <s v="Resolved"/>
  </r>
  <r>
    <x v="4"/>
    <x v="230"/>
    <d v="2025-01-25T00:00:00"/>
    <d v="2025-02-01T00:00:00"/>
    <n v="488"/>
    <n v="12"/>
    <n v="5856"/>
    <x v="2"/>
    <s v="Delivered"/>
    <s v="Resolved"/>
  </r>
  <r>
    <x v="3"/>
    <x v="231"/>
    <d v="2025-01-18T00:00:00"/>
    <d v="2025-01-23T00:00:00"/>
    <n v="110"/>
    <n v="9"/>
    <n v="990"/>
    <x v="1"/>
    <s v="Delivered"/>
    <s v="Resolved"/>
  </r>
  <r>
    <x v="1"/>
    <x v="232"/>
    <d v="2025-01-06T00:00:00"/>
    <d v="2025-01-13T00:00:00"/>
    <n v="435"/>
    <n v="16"/>
    <n v="6960"/>
    <x v="2"/>
    <s v="Delivered"/>
    <s v="Resolved"/>
  </r>
  <r>
    <x v="4"/>
    <x v="233"/>
    <d v="2025-01-04T00:00:00"/>
    <d v="2025-01-10T00:00:00"/>
    <n v="170"/>
    <n v="10"/>
    <n v="1700"/>
    <x v="1"/>
    <s v="Delivered"/>
    <s v="Resolved"/>
  </r>
  <r>
    <x v="7"/>
    <x v="234"/>
    <d v="2025-01-08T00:00:00"/>
    <d v="2025-01-12T00:00:00"/>
    <n v="246"/>
    <n v="17"/>
    <n v="4182"/>
    <x v="3"/>
    <s v="Delivered"/>
    <s v="Resolved"/>
  </r>
  <r>
    <x v="2"/>
    <x v="235"/>
    <d v="2025-01-03T00:00:00"/>
    <d v="2025-01-04T00:00:00"/>
    <n v="538"/>
    <n v="99"/>
    <n v="53262"/>
    <x v="4"/>
    <s v="Delivered"/>
    <s v="Resolved"/>
  </r>
  <r>
    <x v="6"/>
    <x v="236"/>
    <d v="2025-01-11T00:00:00"/>
    <d v="2025-01-18T00:00:00"/>
    <n v="229"/>
    <n v="26"/>
    <n v="5954"/>
    <x v="3"/>
    <s v="Delivered"/>
    <s v="Resolved"/>
  </r>
  <r>
    <x v="0"/>
    <x v="237"/>
    <d v="2025-01-31T00:00:00"/>
    <d v="2025-02-03T00:00:00"/>
    <n v="181"/>
    <n v="15"/>
    <n v="2715"/>
    <x v="0"/>
    <s v="Delivered"/>
    <s v="Resolved"/>
  </r>
  <r>
    <x v="6"/>
    <x v="238"/>
    <d v="2025-01-10T00:00:00"/>
    <d v="2025-01-11T00:00:00"/>
    <n v="326"/>
    <n v="35"/>
    <n v="11410"/>
    <x v="3"/>
    <s v="Delivered"/>
    <s v="Resolved"/>
  </r>
  <r>
    <x v="7"/>
    <x v="239"/>
    <d v="2025-01-17T00:00:00"/>
    <d v="2025-01-22T00:00:00"/>
    <n v="192"/>
    <n v="5"/>
    <n v="960"/>
    <x v="1"/>
    <s v="Backordered"/>
    <s v="Open"/>
  </r>
  <r>
    <x v="1"/>
    <x v="240"/>
    <d v="2025-01-21T00:00:00"/>
    <d v="2025-01-21T00:00:00"/>
    <n v="421"/>
    <n v="92"/>
    <n v="38732"/>
    <x v="4"/>
    <s v="Delivered"/>
    <s v="Resolved"/>
  </r>
  <r>
    <x v="2"/>
    <x v="241"/>
    <d v="2025-01-15T00:00:00"/>
    <d v="2025-01-21T00:00:00"/>
    <n v="232"/>
    <n v="27"/>
    <n v="6264"/>
    <x v="3"/>
    <s v="Delivered"/>
    <s v="Resolved"/>
  </r>
  <r>
    <x v="6"/>
    <x v="242"/>
    <d v="2025-01-18T00:00:00"/>
    <d v="2025-01-25T00:00:00"/>
    <n v="231"/>
    <n v="14"/>
    <n v="3234"/>
    <x v="0"/>
    <s v="Delivered"/>
    <s v="Resolved"/>
  </r>
  <r>
    <x v="1"/>
    <x v="243"/>
    <d v="2025-01-16T00:00:00"/>
    <d v="2025-01-23T00:00:00"/>
    <n v="253"/>
    <n v="16"/>
    <n v="4048"/>
    <x v="3"/>
    <s v="Delivered"/>
    <s v="Resolved"/>
  </r>
  <r>
    <x v="1"/>
    <x v="244"/>
    <d v="2025-01-06T00:00:00"/>
    <d v="2025-01-09T00:00:00"/>
    <n v="187"/>
    <n v="10"/>
    <n v="1870"/>
    <x v="1"/>
    <s v="Delivered"/>
    <s v="Resolved"/>
  </r>
  <r>
    <x v="7"/>
    <x v="245"/>
    <d v="2025-01-17T00:00:00"/>
    <d v="2025-01-23T00:00:00"/>
    <n v="128"/>
    <n v="21"/>
    <n v="2688"/>
    <x v="0"/>
    <s v="Delivered"/>
    <s v="Resolved"/>
  </r>
  <r>
    <x v="3"/>
    <x v="246"/>
    <d v="2025-01-19T00:00:00"/>
    <d v="2025-01-22T00:00:00"/>
    <n v="240"/>
    <n v="18"/>
    <n v="4320"/>
    <x v="1"/>
    <s v="Delivered"/>
    <s v="Resolved"/>
  </r>
  <r>
    <x v="4"/>
    <x v="247"/>
    <d v="2025-01-20T00:00:00"/>
    <d v="2025-01-22T00:00:00"/>
    <n v="344"/>
    <n v="32"/>
    <n v="11008"/>
    <x v="0"/>
    <s v="Cancelled"/>
    <s v="Open"/>
  </r>
  <r>
    <x v="7"/>
    <x v="248"/>
    <d v="2025-01-03T00:00:00"/>
    <d v="2025-01-08T00:00:00"/>
    <n v="314"/>
    <n v="28"/>
    <n v="8792"/>
    <x v="3"/>
    <s v="Delivered"/>
    <s v="Resolved"/>
  </r>
  <r>
    <x v="7"/>
    <x v="249"/>
    <d v="2025-01-14T00:00:00"/>
    <d v="2025-01-17T00:00:00"/>
    <n v="320"/>
    <n v="24"/>
    <n v="7680"/>
    <x v="4"/>
    <s v="Delivered"/>
    <s v="Resolved"/>
  </r>
  <r>
    <x v="2"/>
    <x v="250"/>
    <d v="2025-01-03T00:00:00"/>
    <d v="2025-01-03T00:00:00"/>
    <n v="189"/>
    <n v="20"/>
    <n v="3780"/>
    <x v="3"/>
    <s v="Cancelled"/>
    <s v="Open"/>
  </r>
  <r>
    <x v="7"/>
    <x v="251"/>
    <d v="2025-01-04T00:00:00"/>
    <d v="2025-01-04T00:00:00"/>
    <n v="433"/>
    <n v="23"/>
    <n v="9959"/>
    <x v="2"/>
    <s v="Delivered"/>
    <s v="Resolved"/>
  </r>
  <r>
    <x v="3"/>
    <x v="252"/>
    <d v="2025-01-17T00:00:00"/>
    <d v="2025-01-21T00:00:00"/>
    <n v="475"/>
    <n v="21"/>
    <n v="9975"/>
    <x v="2"/>
    <s v="Delivered"/>
    <s v="Resolved"/>
  </r>
  <r>
    <x v="1"/>
    <x v="253"/>
    <d v="2025-01-15T00:00:00"/>
    <d v="2025-01-22T00:00:00"/>
    <n v="306"/>
    <n v="31"/>
    <n v="9486"/>
    <x v="0"/>
    <s v="Delivered"/>
    <s v="Resolved"/>
  </r>
  <r>
    <x v="6"/>
    <x v="254"/>
    <d v="2025-01-20T00:00:00"/>
    <d v="2025-01-25T00:00:00"/>
    <n v="179"/>
    <n v="24"/>
    <n v="4296"/>
    <x v="1"/>
    <s v="Delivered"/>
    <s v="Resolved"/>
  </r>
  <r>
    <x v="5"/>
    <x v="255"/>
    <d v="2025-01-04T00:00:00"/>
    <d v="2025-01-06T00:00:00"/>
    <n v="355"/>
    <n v="17"/>
    <n v="6035"/>
    <x v="2"/>
    <s v="Delivered"/>
    <s v="Resolved"/>
  </r>
  <r>
    <x v="4"/>
    <x v="256"/>
    <d v="2025-01-29T00:00:00"/>
    <d v="2025-02-03T00:00:00"/>
    <n v="372"/>
    <n v="8"/>
    <n v="2976"/>
    <x v="2"/>
    <s v="Delivered"/>
    <s v="Resolved"/>
  </r>
  <r>
    <x v="2"/>
    <x v="257"/>
    <d v="2025-01-27T00:00:00"/>
    <d v="2025-01-29T00:00:00"/>
    <n v="390"/>
    <n v="21"/>
    <n v="8190"/>
    <x v="2"/>
    <s v="Delivered"/>
    <s v="Resolved"/>
  </r>
  <r>
    <x v="3"/>
    <x v="258"/>
    <d v="2025-01-23T00:00:00"/>
    <d v="2025-01-27T00:00:00"/>
    <n v="192"/>
    <n v="34"/>
    <n v="6528"/>
    <x v="1"/>
    <s v="Delivered"/>
    <s v="Resolved"/>
  </r>
  <r>
    <x v="0"/>
    <x v="259"/>
    <d v="2025-01-05T00:00:00"/>
    <d v="2025-01-05T00:00:00"/>
    <n v="198"/>
    <n v="12"/>
    <n v="2376"/>
    <x v="3"/>
    <s v="Delivered"/>
    <s v="Resolved"/>
  </r>
  <r>
    <x v="0"/>
    <x v="260"/>
    <d v="2025-01-20T00:00:00"/>
    <d v="2025-01-23T00:00:00"/>
    <n v="518"/>
    <n v="95"/>
    <n v="49210"/>
    <x v="4"/>
    <s v="Delivered"/>
    <s v="Resolved"/>
  </r>
  <r>
    <x v="4"/>
    <x v="261"/>
    <d v="2025-01-30T00:00:00"/>
    <d v="2025-02-03T00:00:00"/>
    <n v="332"/>
    <n v="39"/>
    <n v="12948"/>
    <x v="3"/>
    <s v="Delivered"/>
    <s v="Resolved"/>
  </r>
  <r>
    <x v="7"/>
    <x v="262"/>
    <d v="2025-01-10T00:00:00"/>
    <d v="2025-01-16T00:00:00"/>
    <n v="519"/>
    <n v="84"/>
    <n v="43596"/>
    <x v="4"/>
    <s v="Delivered"/>
    <s v="Resolved"/>
  </r>
  <r>
    <x v="3"/>
    <x v="263"/>
    <d v="2025-01-09T00:00:00"/>
    <d v="2025-01-11T00:00:00"/>
    <n v="445"/>
    <n v="12"/>
    <n v="5340"/>
    <x v="2"/>
    <s v="Delivered"/>
    <s v="Resolved"/>
  </r>
  <r>
    <x v="7"/>
    <x v="264"/>
    <d v="2025-01-30T00:00:00"/>
    <d v="2025-02-04T00:00:00"/>
    <n v="465"/>
    <n v="12"/>
    <n v="5580"/>
    <x v="2"/>
    <s v="Delivered"/>
    <s v="Resolved"/>
  </r>
  <r>
    <x v="7"/>
    <x v="265"/>
    <d v="2025-01-07T00:00:00"/>
    <d v="2025-01-09T00:00:00"/>
    <n v="216"/>
    <n v="13"/>
    <n v="2808"/>
    <x v="1"/>
    <s v="Delivered"/>
    <s v="Resolved"/>
  </r>
  <r>
    <x v="7"/>
    <x v="266"/>
    <d v="2025-01-19T00:00:00"/>
    <d v="2025-01-25T00:00:00"/>
    <n v="288"/>
    <n v="5"/>
    <n v="1440"/>
    <x v="2"/>
    <s v="Delivered"/>
    <s v="Resolved"/>
  </r>
  <r>
    <x v="0"/>
    <x v="267"/>
    <d v="2025-01-14T00:00:00"/>
    <d v="2025-01-16T00:00:00"/>
    <n v="237"/>
    <n v="31"/>
    <n v="7347"/>
    <x v="1"/>
    <s v="Delivered"/>
    <s v="Resolved"/>
  </r>
  <r>
    <x v="4"/>
    <x v="268"/>
    <d v="2025-01-10T00:00:00"/>
    <d v="2025-01-15T00:00:00"/>
    <n v="350"/>
    <n v="6"/>
    <n v="2100"/>
    <x v="2"/>
    <s v="Delivered"/>
    <s v="Resolved"/>
  </r>
  <r>
    <x v="0"/>
    <x v="269"/>
    <d v="2025-01-12T00:00:00"/>
    <d v="2025-01-14T00:00:00"/>
    <n v="472"/>
    <n v="13"/>
    <n v="6136"/>
    <x v="2"/>
    <s v="Delivered"/>
    <s v="Resolved"/>
  </r>
  <r>
    <x v="3"/>
    <x v="270"/>
    <d v="2025-01-30T00:00:00"/>
    <d v="2025-02-02T00:00:00"/>
    <n v="356"/>
    <n v="92"/>
    <n v="32752"/>
    <x v="4"/>
    <s v="Delivered"/>
    <s v="Resolved"/>
  </r>
  <r>
    <x v="5"/>
    <x v="271"/>
    <d v="2025-01-25T00:00:00"/>
    <d v="2025-01-31T00:00:00"/>
    <n v="380"/>
    <n v="40"/>
    <n v="15200"/>
    <x v="4"/>
    <s v="Delivered"/>
    <s v="Resolved"/>
  </r>
  <r>
    <x v="7"/>
    <x v="272"/>
    <d v="2025-01-05T00:00:00"/>
    <d v="2025-01-11T00:00:00"/>
    <n v="258"/>
    <n v="17"/>
    <n v="4386"/>
    <x v="2"/>
    <s v="Delivered"/>
    <s v="Resolved"/>
  </r>
  <r>
    <x v="5"/>
    <x v="273"/>
    <d v="2025-01-09T00:00:00"/>
    <d v="2025-01-15T00:00:00"/>
    <n v="282"/>
    <n v="25"/>
    <n v="7050"/>
    <x v="3"/>
    <s v="Delivered"/>
    <s v="Resolved"/>
  </r>
  <r>
    <x v="6"/>
    <x v="274"/>
    <d v="2025-01-16T00:00:00"/>
    <d v="2025-01-22T00:00:00"/>
    <n v="401"/>
    <n v="16"/>
    <n v="6416"/>
    <x v="4"/>
    <s v="Delivered"/>
    <s v="Resolved"/>
  </r>
  <r>
    <x v="1"/>
    <x v="275"/>
    <d v="2025-01-31T00:00:00"/>
    <d v="2025-02-04T00:00:00"/>
    <n v="187"/>
    <n v="20"/>
    <n v="3740"/>
    <x v="0"/>
    <s v="Delivered"/>
    <s v="Resolved"/>
  </r>
  <r>
    <x v="1"/>
    <x v="276"/>
    <d v="2025-01-27T00:00:00"/>
    <d v="2025-01-30T00:00:00"/>
    <n v="326"/>
    <n v="10"/>
    <n v="3260"/>
    <x v="2"/>
    <s v="Delivered"/>
    <s v="Resolved"/>
  </r>
  <r>
    <x v="6"/>
    <x v="277"/>
    <d v="2025-01-29T00:00:00"/>
    <d v="2025-02-05T00:00:00"/>
    <n v="250"/>
    <n v="6"/>
    <n v="1500"/>
    <x v="3"/>
    <s v="Delivered"/>
    <s v="Resolved"/>
  </r>
  <r>
    <x v="7"/>
    <x v="278"/>
    <d v="2025-01-06T00:00:00"/>
    <d v="2025-01-13T00:00:00"/>
    <n v="351"/>
    <n v="47"/>
    <n v="16497"/>
    <x v="4"/>
    <s v="Delivered"/>
    <s v="Resolved"/>
  </r>
  <r>
    <x v="6"/>
    <x v="279"/>
    <d v="2025-01-02T00:00:00"/>
    <d v="2025-01-05T00:00:00"/>
    <n v="251"/>
    <n v="9"/>
    <n v="2259"/>
    <x v="2"/>
    <s v="Pending"/>
    <s v="Open"/>
  </r>
  <r>
    <x v="1"/>
    <x v="280"/>
    <d v="2025-01-04T00:00:00"/>
    <d v="2025-01-09T00:00:00"/>
    <n v="127"/>
    <n v="44"/>
    <n v="5588"/>
    <x v="0"/>
    <s v="Delivered"/>
    <s v="Resolved"/>
  </r>
  <r>
    <x v="2"/>
    <x v="281"/>
    <d v="2025-01-04T00:00:00"/>
    <d v="2025-01-10T00:00:00"/>
    <n v="484"/>
    <n v="7"/>
    <n v="3388"/>
    <x v="2"/>
    <s v="Delivered"/>
    <s v="Resolved"/>
  </r>
  <r>
    <x v="4"/>
    <x v="282"/>
    <d v="2025-01-31T00:00:00"/>
    <d v="2025-02-03T00:00:00"/>
    <n v="189"/>
    <n v="16"/>
    <n v="3024"/>
    <x v="0"/>
    <s v="Delivered"/>
    <s v="Resolved"/>
  </r>
  <r>
    <x v="2"/>
    <x v="283"/>
    <d v="2025-01-09T00:00:00"/>
    <d v="2025-01-16T00:00:00"/>
    <n v="304"/>
    <n v="8"/>
    <n v="2432"/>
    <x v="3"/>
    <s v="Delivered"/>
    <s v="Resolved"/>
  </r>
  <r>
    <x v="5"/>
    <x v="284"/>
    <d v="2025-01-29T00:00:00"/>
    <d v="2025-02-04T00:00:00"/>
    <n v="166"/>
    <n v="45"/>
    <n v="7470"/>
    <x v="0"/>
    <s v="Delivered"/>
    <s v="Resolved"/>
  </r>
  <r>
    <x v="3"/>
    <x v="285"/>
    <d v="2025-01-12T00:00:00"/>
    <d v="2025-01-17T00:00:00"/>
    <n v="239"/>
    <n v="7"/>
    <n v="1673"/>
    <x v="1"/>
    <s v="Delivered"/>
    <s v="Resolved"/>
  </r>
  <r>
    <x v="3"/>
    <x v="286"/>
    <d v="2025-01-09T00:00:00"/>
    <d v="2025-01-14T00:00:00"/>
    <n v="344"/>
    <n v="85"/>
    <n v="29240"/>
    <x v="4"/>
    <s v="Delivered"/>
    <s v="Resolved"/>
  </r>
  <r>
    <x v="3"/>
    <x v="287"/>
    <d v="2025-01-31T00:00:00"/>
    <d v="2025-02-03T00:00:00"/>
    <n v="242"/>
    <n v="32"/>
    <n v="7744"/>
    <x v="0"/>
    <s v="Delivered"/>
    <s v="Resolved"/>
  </r>
  <r>
    <x v="5"/>
    <x v="288"/>
    <d v="2025-01-20T00:00:00"/>
    <d v="2025-01-23T00:00:00"/>
    <n v="159"/>
    <n v="14"/>
    <n v="2226"/>
    <x v="0"/>
    <s v="Delivered"/>
    <s v="Resolved"/>
  </r>
  <r>
    <x v="3"/>
    <x v="289"/>
    <d v="2025-01-04T00:00:00"/>
    <d v="2025-01-10T00:00:00"/>
    <n v="219"/>
    <n v="37"/>
    <n v="8103"/>
    <x v="3"/>
    <s v="Delivered"/>
    <s v="Resolved"/>
  </r>
  <r>
    <x v="3"/>
    <x v="290"/>
    <d v="2025-01-23T00:00:00"/>
    <d v="2025-01-23T00:00:00"/>
    <n v="262"/>
    <n v="35"/>
    <n v="9170"/>
    <x v="0"/>
    <s v="Delivered"/>
    <s v="Resolved"/>
  </r>
  <r>
    <x v="0"/>
    <x v="291"/>
    <d v="2025-01-25T00:00:00"/>
    <d v="2025-01-28T00:00:00"/>
    <n v="429"/>
    <n v="34"/>
    <n v="14586"/>
    <x v="4"/>
    <s v="Delivered"/>
    <s v="Resolved"/>
  </r>
  <r>
    <x v="6"/>
    <x v="292"/>
    <d v="2025-01-31T00:00:00"/>
    <d v="2025-02-02T00:00:00"/>
    <n v="313"/>
    <n v="11"/>
    <n v="3443"/>
    <x v="0"/>
    <s v="Delivered"/>
    <s v="Resolved"/>
  </r>
  <r>
    <x v="7"/>
    <x v="293"/>
    <d v="2025-01-08T00:00:00"/>
    <d v="2025-01-14T00:00:00"/>
    <n v="316"/>
    <n v="16"/>
    <n v="5056"/>
    <x v="2"/>
    <s v="Delivered"/>
    <s v="Resolved"/>
  </r>
  <r>
    <x v="1"/>
    <x v="294"/>
    <d v="2025-01-21T00:00:00"/>
    <d v="2025-01-27T00:00:00"/>
    <n v="194"/>
    <n v="13"/>
    <n v="2522"/>
    <x v="3"/>
    <s v="Delivered"/>
    <s v="Resolved"/>
  </r>
  <r>
    <x v="4"/>
    <x v="295"/>
    <d v="2025-01-15T00:00:00"/>
    <d v="2025-01-19T00:00:00"/>
    <n v="509"/>
    <n v="89"/>
    <n v="45301"/>
    <x v="4"/>
    <s v="Delivered"/>
    <s v="Resolved"/>
  </r>
  <r>
    <x v="4"/>
    <x v="296"/>
    <d v="2025-01-26T00:00:00"/>
    <d v="2025-01-29T00:00:00"/>
    <n v="392"/>
    <n v="85"/>
    <n v="33320"/>
    <x v="4"/>
    <s v="Delivered"/>
    <s v="Resolved"/>
  </r>
  <r>
    <x v="6"/>
    <x v="297"/>
    <d v="2025-01-30T00:00:00"/>
    <d v="2025-01-31T00:00:00"/>
    <n v="185"/>
    <n v="40"/>
    <n v="7400"/>
    <x v="0"/>
    <s v="Delivered"/>
    <s v="Resolved"/>
  </r>
  <r>
    <x v="1"/>
    <x v="298"/>
    <d v="2025-01-15T00:00:00"/>
    <d v="2025-01-22T00:00:00"/>
    <n v="317"/>
    <n v="6"/>
    <n v="1902"/>
    <x v="2"/>
    <s v="Delivered"/>
    <s v="Resolved"/>
  </r>
  <r>
    <x v="1"/>
    <x v="299"/>
    <d v="2025-01-16T00:00:00"/>
    <d v="2025-01-17T00:00:00"/>
    <n v="242"/>
    <n v="17"/>
    <n v="4114"/>
    <x v="3"/>
    <s v="Delivered"/>
    <s v="Resolv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F0433-D3D2-BC47-8433-242445C5DF15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13:G22" firstHeaderRow="1" firstDataRow="1" firstDataCol="1"/>
  <pivotFields count="9">
    <pivotField compact="0" outline="0" showAll="0"/>
    <pivotField axis="axisRow" compact="0" outline="0" showAll="0">
      <items count="9">
        <item x="7"/>
        <item x="3"/>
        <item x="0"/>
        <item x="1"/>
        <item x="5"/>
        <item x="4"/>
        <item x="2"/>
        <item x="6"/>
        <item t="default"/>
      </items>
    </pivotField>
    <pivotField compact="0" outline="0" showAll="0"/>
    <pivotField compact="0" outline="0" showAll="0"/>
    <pivotField dataField="1" compact="0" numFmtId="14" outline="0" showAll="0">
      <items count="31">
        <item x="17"/>
        <item x="26"/>
        <item x="9"/>
        <item x="7"/>
        <item x="5"/>
        <item x="19"/>
        <item x="20"/>
        <item x="0"/>
        <item x="22"/>
        <item x="2"/>
        <item x="16"/>
        <item x="23"/>
        <item x="12"/>
        <item x="3"/>
        <item x="13"/>
        <item x="24"/>
        <item x="27"/>
        <item x="15"/>
        <item x="25"/>
        <item x="8"/>
        <item x="10"/>
        <item x="11"/>
        <item x="14"/>
        <item x="1"/>
        <item x="18"/>
        <item x="4"/>
        <item x="6"/>
        <item x="21"/>
        <item x="29"/>
        <item x="28"/>
        <item t="default"/>
      </items>
    </pivotField>
    <pivotField compact="0" numFmtId="1" outline="0" showAll="0"/>
    <pivotField compact="0" numFmtId="14" outline="0" showAll="0">
      <items count="36">
        <item x="34"/>
        <item x="18"/>
        <item x="21"/>
        <item x="10"/>
        <item x="6"/>
        <item x="29"/>
        <item x="11"/>
        <item x="30"/>
        <item x="22"/>
        <item x="3"/>
        <item x="0"/>
        <item x="14"/>
        <item x="5"/>
        <item x="15"/>
        <item x="17"/>
        <item x="23"/>
        <item x="24"/>
        <item x="26"/>
        <item x="2"/>
        <item x="28"/>
        <item x="31"/>
        <item x="16"/>
        <item x="8"/>
        <item x="13"/>
        <item x="12"/>
        <item x="9"/>
        <item x="20"/>
        <item x="25"/>
        <item x="1"/>
        <item x="7"/>
        <item x="27"/>
        <item x="4"/>
        <item x="19"/>
        <item x="32"/>
        <item x="33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Date_Opened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E38F2-567E-C444-A0BC-6C6B49AA0007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2:H11" firstHeaderRow="0" firstDataRow="1" firstDataCol="1"/>
  <pivotFields count="6">
    <pivotField axis="axisRow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compact="0" numFmtId="164" outline="0" showAll="0"/>
    <pivotField dataField="1" compact="0" numFmtId="164" outline="0" showAll="0"/>
    <pivotField dataField="1" compact="0" numFmtId="164" outline="0" showAll="0"/>
    <pivotField compact="0" outline="0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cured_Rebate" fld="3" baseField="0" baseItem="0" numFmtId="164"/>
    <dataField name="Sum of Rebate_Received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9C880-8B4A-1C47-8221-BBFC92E8E129}" name="PivotTable2" cacheId="22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D100" firstHeaderRow="1" firstDataRow="1" firstDataCol="3"/>
  <pivotFields count="10">
    <pivotField axis="axisRow" compact="0" outline="0" showAll="0">
      <items count="9">
        <item x="7"/>
        <item x="3"/>
        <item x="0"/>
        <item x="1"/>
        <item x="5"/>
        <item x="4"/>
        <item x="2"/>
        <item x="6"/>
        <item t="default"/>
      </items>
    </pivotField>
    <pivotField compact="0" outline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numFmtId="14" outline="0" showAll="0"/>
    <pivotField compact="0" numFmtId="14" outline="0" showAll="0"/>
    <pivotField dataField="1" compact="0" numFmtId="1" outline="0" showAll="0"/>
    <pivotField compact="0" numFmtId="164" outline="0" showAll="0"/>
    <pivotField dataField="1" compact="0" numFmtId="164" outline="0" showAll="0"/>
    <pivotField axis="axisRow" compact="0" outline="0" showAll="0">
      <items count="6">
        <item x="2"/>
        <item x="4"/>
        <item x="0"/>
        <item x="3"/>
        <item x="1"/>
        <item t="default"/>
      </items>
    </pivotField>
    <pivotField compact="0" outline="0" showAll="0"/>
    <pivotField compact="0" outline="0" showAll="0"/>
  </pivotFields>
  <rowFields count="3">
    <field x="0"/>
    <field x="7"/>
    <field x="-2"/>
  </rowFields>
  <rowItems count="98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t="default">
      <x v="1"/>
    </i>
    <i t="default" i="1">
      <x v="1"/>
    </i>
    <i>
      <x v="2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t="default">
      <x v="2"/>
    </i>
    <i t="default" i="1">
      <x v="2"/>
    </i>
    <i>
      <x v="3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t="default">
      <x v="3"/>
    </i>
    <i t="default" i="1">
      <x v="3"/>
    </i>
    <i>
      <x v="4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t="default">
      <x v="4"/>
    </i>
    <i t="default" i="1">
      <x v="4"/>
    </i>
    <i>
      <x v="5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t="default">
      <x v="5"/>
    </i>
    <i t="default" i="1">
      <x v="5"/>
    </i>
    <i>
      <x v="6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t="default">
      <x v="6"/>
    </i>
    <i t="default" i="1">
      <x v="6"/>
    </i>
    <i>
      <x v="7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t="default">
      <x v="7"/>
    </i>
    <i t="default" i="1">
      <x v="7"/>
    </i>
    <i t="grand">
      <x/>
    </i>
    <i t="grand" i="1">
      <x/>
    </i>
  </rowItems>
  <colItems count="1">
    <i/>
  </colItems>
  <dataFields count="2">
    <dataField name="Sum of Purchase Value" fld="6" baseField="0" baseItem="0" numFmtId="164"/>
    <dataField name="Sum of Quantity" fld="4" baseField="0" baseItem="0" numFmtId="1"/>
  </dataFields>
  <pivotTableStyleInfo name="PivotStyleLight1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588801-E741-6F47-9282-33A112135629}" name="Table1" displayName="Table1" ref="A1:D9" totalsRowShown="0">
  <autoFilter ref="A1:D9" xr:uid="{B3588801-E741-6F47-9282-33A112135629}"/>
  <tableColumns count="4">
    <tableColumn id="1" xr3:uid="{209B0949-8805-4F48-8F92-4C531A7C2A94}" name="Vendors_ID"/>
    <tableColumn id="2" xr3:uid="{1A08DF0B-C09D-9547-9FBA-FAD3FDCE917F}" name="Contract_Volume" dataDxfId="36">
      <calculatedColumnFormula>COUNTIF(Table3[Vendors_ID],"Vendor A")</calculatedColumnFormula>
    </tableColumn>
    <tableColumn id="3" xr3:uid="{6F43AD01-5219-0943-B847-41DDF6F5F25D}" name="Contract__Value" dataDxfId="35">
      <calculatedColumnFormula>SUMIF(Table6[[#All],[Vendor ID]],Table1[[#This Row],[Vendors_ID]],Table6[[#All],[Purchase Value]])</calculatedColumnFormula>
    </tableColumn>
    <tableColumn id="5" xr3:uid="{00B5ACD1-BDBE-FF4E-9B9F-F3BAC0435D10}" name="Actual_Spend" dataDxfId="34">
      <calculatedColumnFormula>SUMIFS(Table6[Purchase Value],Table6[Vendor ID],Table1[[#This Row],[Vendors_ID]],Table6[Order_Status],"Delivered")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90434D-434C-594E-9911-B8149F11DDD5}" name="Table3" displayName="Table3" ref="A1:I301" totalsRowShown="0" headerRowDxfId="33" tableBorderDxfId="32">
  <autoFilter ref="A1:I301" xr:uid="{1490434D-434C-594E-9911-B8149F11DDD5}"/>
  <tableColumns count="9">
    <tableColumn id="1" xr3:uid="{7406A5D7-1F24-B24C-956B-16FE2E0C6972}" name="Ticket_ID" dataDxfId="31"/>
    <tableColumn id="12" xr3:uid="{C5CBAA83-169F-6A49-AD91-D1ED9C2B233F}" name="Vendors_ID"/>
    <tableColumn id="3" xr3:uid="{59B3CC2E-AEE2-3D48-8368-98098D6DEF9C}" name="Issue_Type"/>
    <tableColumn id="4" xr3:uid="{B949A19D-C4AE-3642-90A8-E28AB2FEF812}" name="Priority" dataDxfId="30"/>
    <tableColumn id="6" xr3:uid="{F88A3A18-6318-FB44-A0A2-ABB7E3041491}" name="Date_Opened" dataDxfId="29"/>
    <tableColumn id="5" xr3:uid="{218BE441-B137-974D-B621-881833BB4E5E}" name="SLA_Hours" dataDxfId="28"/>
    <tableColumn id="7" xr3:uid="{9F6D8216-8CC4-214D-A497-7CB8BC4966F5}" name="Date_Resolved" dataDxfId="27"/>
    <tableColumn id="8" xr3:uid="{C911837D-ED11-044D-98A3-1DE8195D3DC7}" name="Resolved_On_Time" dataDxfId="26"/>
    <tableColumn id="2" xr3:uid="{C3DB55F7-A350-AD46-8F23-BC07BEF05E39}" name="Paid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5B8CBD-58EC-6345-A1F9-20C17F8E7A69}" name="Table6" displayName="Table6" ref="A1:J301" totalsRowShown="0">
  <autoFilter ref="A1:J301" xr:uid="{4A5B8CBD-58EC-6345-A1F9-20C17F8E7A69}"/>
  <tableColumns count="10">
    <tableColumn id="1" xr3:uid="{07EE4682-04FE-F84A-B006-ECF40A61B976}" name="Vendor ID"/>
    <tableColumn id="2" xr3:uid="{3A640D47-8A8F-BB46-941B-8630E490E062}" name="Purchase_ID" dataDxfId="24">
      <calculatedColumnFormula>"V-"&amp;Table3[[#This Row],[Ticket_ID]]</calculatedColumnFormula>
    </tableColumn>
    <tableColumn id="3" xr3:uid="{354A69B8-CCF8-EB47-9F97-60D2E777BD62}" name="Date_Ordered" dataDxfId="23">
      <calculatedColumnFormula>Table3[[#This Row],[Date_Opened]]</calculatedColumnFormula>
    </tableColumn>
    <tableColumn id="4" xr3:uid="{4FFB7393-DF04-1646-9A7B-9F92302E35CE}" name="Date_Received" dataDxfId="22">
      <calculatedColumnFormula>Table3[[#This Row],[Date_Resolved]]</calculatedColumnFormula>
    </tableColumn>
    <tableColumn id="8" xr3:uid="{728C051B-80AE-BC46-B3F3-19887D181A07}" name="Quantity" dataDxfId="21"/>
    <tableColumn id="7" xr3:uid="{86213921-D9BD-E84A-9A44-3FE18E6DA835}" name="Unit Price" dataDxfId="20"/>
    <tableColumn id="6" xr3:uid="{F3185FDD-35AB-1C42-B483-055729FD40A0}" name="Purchase Value" dataDxfId="19">
      <calculatedColumnFormula>Table6[[#This Row],[Quantity]]*Table6[[#This Row],[Unit Price]]</calculatedColumnFormula>
    </tableColumn>
    <tableColumn id="5" xr3:uid="{02B945D7-A226-1944-BABE-BE3DF15D438B}" name="Product_Catergory" dataDxfId="18"/>
    <tableColumn id="9" xr3:uid="{3DE3504A-664A-514D-B483-583198E7245E}" name="Order_Status" dataDxfId="17"/>
    <tableColumn id="10" xr3:uid="{ABD0C487-B864-8844-A4D7-46706DB96483}" name="General _Status" dataDxfId="16">
      <calculatedColumnFormula>IF(Table6[[#This Row],[Order_Status]]="Delivered","Resolved","Open")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6659CD-3FBE-CC41-867A-47FB8021238B}" name="Table5" displayName="Table5" ref="A1:F9" totalsRowShown="0" dataDxfId="15">
  <autoFilter ref="A1:F9" xr:uid="{576659CD-3FBE-CC41-867A-47FB8021238B}"/>
  <tableColumns count="6">
    <tableColumn id="1" xr3:uid="{CD2C64EE-9EDE-6644-AE8E-A9CE8757797D}" name="Vendor_ID" dataDxfId="14">
      <calculatedColumnFormula>Table1[[#This Row],[Vendors_ID]]</calculatedColumnFormula>
    </tableColumn>
    <tableColumn id="2" xr3:uid="{DEDDD756-9541-2F46-82B3-498E4A5F3A59}" name="Rebate Percent" dataDxfId="13"/>
    <tableColumn id="3" xr3:uid="{9AB58BD0-8F92-BF47-AB22-B0D7D8C74D43}" name="Expected_Rebate" dataDxfId="12">
      <calculatedColumnFormula>Table1[[#This Row],[Contract__Value]]*Table5[[#This Row],[Rebate Percent]]</calculatedColumnFormula>
    </tableColumn>
    <tableColumn id="4" xr3:uid="{96AC2569-F489-1C4A-9F51-77B208640C11}" name="Accured_Rebate" dataDxfId="11">
      <calculatedColumnFormula>SUMIFS(
   Table6[Purchase Value],
   Table6[Vendor ID],Table5[[#This Row],[Vendor_ID]],
   Table6[Order_Status],"Delivered"
) * Table5[[#This Row],[Rebate Percent]]</calculatedColumnFormula>
    </tableColumn>
    <tableColumn id="5" xr3:uid="{A15DEEC5-3682-DF4E-B3A9-F16747409371}" name="Rebate_Received" dataDxfId="10">
      <calculatedColumnFormula>SUMIFS(Table6[Purchase Value],Table6[Vendor ID],Table5[[#This Row],[Vendor_ID]],Table3[Paid],"Paid")*Table5[[#This Row],[Rebate Percent]]</calculatedColumnFormula>
    </tableColumn>
    <tableColumn id="6" xr3:uid="{CBDF9D51-E412-CC46-8BC1-02000AFC0B43}" name="Rebate_Flag" dataDxfId="9">
      <calculatedColumnFormula>IF(Table5[[#This Row],[Rebate_Received]] &gt;= Table5[[#This Row],[Accured_Rebate]], "ISSUE", "OK")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FAA06ED-F80B-B94D-8231-DE9AC9562BC7}" name="Table8" displayName="Table8" ref="A1:G9" totalsRowShown="0">
  <autoFilter ref="A1:G9" xr:uid="{1FAA06ED-F80B-B94D-8231-DE9AC9562BC7}"/>
  <tableColumns count="7">
    <tableColumn id="1" xr3:uid="{52DE374B-4C11-C34E-82C3-F2FD32115BFF}" name="Vendor" dataDxfId="8">
      <calculatedColumnFormula>Table1[[#This Row],[Vendors_ID]]</calculatedColumnFormula>
    </tableColumn>
    <tableColumn id="2" xr3:uid="{1E698D2D-E0E3-9F42-B299-6C6545108B3F}" name="Contract Value" dataDxfId="7">
      <calculatedColumnFormula>Table1[[#This Row],[Contract__Value]]</calculatedColumnFormula>
    </tableColumn>
    <tableColumn id="3" xr3:uid="{00FEF116-9101-2146-BE92-AE9C4377EF65}" name="Actual Spend" dataDxfId="6">
      <calculatedColumnFormula>Table1[[#This Row],[Actual_Spend]]</calculatedColumnFormula>
    </tableColumn>
    <tableColumn id="5" xr3:uid="{E1913F47-C1E2-2D4C-A221-4960D1CBC81C}" name="Accrued Rebate" dataDxfId="5">
      <calculatedColumnFormula>Table5[[#This Row],[Accured_Rebate]]</calculatedColumnFormula>
    </tableColumn>
    <tableColumn id="4" xr3:uid="{2A2D8643-C6BE-8C40-8116-4877CC26ABB9}" name="Expected Rebate" dataDxfId="4">
      <calculatedColumnFormula>Table5[[#This Row],[Expected_Rebate]]</calculatedColumnFormula>
    </tableColumn>
    <tableColumn id="6" xr3:uid="{71F6F7EB-7D1F-BD4D-A46D-6B81E12AE522}" name="Rebate Received" dataDxfId="3">
      <calculatedColumnFormula>Table5[[#This Row],[Rebate_Received]]</calculatedColumnFormula>
    </tableColumn>
    <tableColumn id="8" xr3:uid="{2A26E3E0-F235-AF46-B176-3431ACB013A7}" name="Rebate Flag" dataDxfId="2">
      <calculatedColumnFormula>Table5[[#This Row],[Rebate_Flag]]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786AAE-1123-834D-9538-E873029FED3D}" name="Table4" displayName="Table4" ref="A1:B12" totalsRowShown="0" headerRowDxfId="1">
  <autoFilter ref="A1:B12" xr:uid="{78786AAE-1123-834D-9538-E873029FED3D}"/>
  <tableColumns count="2">
    <tableColumn id="1" xr3:uid="{DD0B8F1E-384E-D848-907D-D417B7F07D0A}" name="KPIs" dataDxfId="0"/>
    <tableColumn id="2" xr3:uid="{7EA86F23-D3D4-4C45-8E1E-886088CC4094}" name="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17T17:38:17.76" personId="{C14B99AD-C162-5A4E-85B5-752BE8B2EEEB}" id="{08CC3ECB-0AFA-4C4C-8E7D-3AEA31130C26}">
    <text>=COUNTIF(Table3[Vendors_ID],[@[Vendors_ID]])</text>
  </threadedComment>
  <threadedComment ref="C1" dT="2026-02-17T19:32:51.25" personId="{C14B99AD-C162-5A4E-85B5-752BE8B2EEEB}" id="{05A979D9-FCEC-3441-ABD0-B2AB230D43BF}">
    <text>=SUMIF(Table6[[#All],[Vendor ID]],[@[Vendors_ID]],Table6[[#All],[Purchase Value]])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dT="2026-02-17T03:50:46.13" personId="{C14B99AD-C162-5A4E-85B5-752BE8B2EEEB}" id="{84971401-6F33-8943-9F6E-53C248C8D9B4}">
    <text>=CHOOSE(RANDBETWEEN(1,5), "Onboarding", "Late Shipment", "Order Error", "Product Quality", "Return / Exchange")</text>
  </threadedComment>
  <threadedComment ref="D1" dT="2026-02-17T03:47:04.85" personId="{C14B99AD-C162-5A4E-85B5-752BE8B2EEEB}" id="{09B332A0-2F19-084E-A7BE-82F724B6BD00}">
    <text>=CHOOSE(RANDBETWEEN(1,3), "Low", "Medium", "High")</text>
  </threadedComment>
  <threadedComment ref="E1" dT="2026-02-17T03:44:50.27" personId="{C14B99AD-C162-5A4E-85B5-752BE8B2EEEB}" id="{4428E865-312E-3C41-BAF2-AB585148C88C}">
    <text>=RANDBETWEEN(DATE(2026,2,1), DATE(2026,2,28))</text>
  </threadedComment>
  <threadedComment ref="F1" dT="2026-02-17T03:46:17.37" personId="{C14B99AD-C162-5A4E-85B5-752BE8B2EEEB}" id="{6F60101A-F320-8A45-AB43-3C99DF28454A}">
    <text>=CHOOSE(RANDBETWEEN(1,4), 24, 48, 72, 96)</text>
  </threadedComment>
  <threadedComment ref="G1" dT="2026-02-17T03:42:18.32" personId="{C14B99AD-C162-5A4E-85B5-752BE8B2EEEB}" id="{6915BAB9-EC88-CF42-B506-FC0C548132A8}">
    <text>=RANDBETWEEN([@[Date_Opened]], [@[Date_Opened]] + 5)</text>
  </threadedComment>
  <threadedComment ref="H1" dT="2026-02-17T03:40:33.41" personId="{C14B99AD-C162-5A4E-85B5-752BE8B2EEEB}" id="{498D5E99-2BF4-594A-9459-D02CA341C248}">
    <text>=IF(ISBLANK([@[Date_Resolved]]),"",IF(([@[Date_Resolved]]-[@[Date_Opened]])*24 &lt;=[@[SLA_Hours]],"YES","NO"))</text>
  </threadedComment>
  <threadedComment ref="I1" dT="2026-02-25T21:40:02.63" personId="{C14B99AD-C162-5A4E-85B5-752BE8B2EEEB}" id="{FBF17A80-9804-A04E-8FAC-8CA5A2AD73B6}">
    <text>=IF(OR(Table6[@[Order_Status]]="Delivered", Table6[@[Order_Status]]="Pending"),     IF(RAND()&lt;0.95,"Paid","Unpaid"),
     "Unpaid"
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" dT="2026-02-17T18:31:58.48" personId="{C14B99AD-C162-5A4E-85B5-752BE8B2EEEB}" id="{F1D65E2F-5418-2243-B5D2-0529B5DB280B}">
    <text>=IFS([@[Product_Catergory]]="Cat Food",RANDBETWEEN(5,50),[@[Product_Catergory]]="Dog Food", RANDBETWEEN(10,30),[@[Product_Catergory]]="Grooming Supplies",RANDBETWEEN(10,35), [@[Product_Catergory]]="Treats",RANDBETWEEN(10,60),[@[Product_Catergory]]="Toys", RANDBETWEEN(15,55))</text>
  </threadedComment>
  <threadedComment ref="F1" dT="2026-02-25T21:03:13.73" personId="{C14B99AD-C162-5A4E-85B5-752BE8B2EEEB}" id="{A9CE9328-53FD-B545-A131-03AC5025E30B}">
    <text>=IFS(
[@[Product_Catergory]]="Cat Food",RANDBETWEEN(5,25),
[@[Product_Catergory]]="Dog Food",RANDBETWEEN(15,120),
[@[Product_Catergory]]="Grooming Supplies",RANDBETWEEN(10,45),
[@[Product_Catergory]]="Treats",RANDBETWEEN(5,35),
[@[Product_Catergory]]="Toys",RANDBETWEEN(5,40)
)</text>
  </threadedComment>
  <threadedComment ref="G1" dT="2026-02-17T19:29:00.59" personId="{C14B99AD-C162-5A4E-85B5-752BE8B2EEEB}" id="{9DDA682B-775F-4F4E-879F-9DB458377B8D}">
    <text>=[@Quantity]*[@[Unit Price]]</text>
  </threadedComment>
  <threadedComment ref="H1" dT="2026-02-17T18:15:50.54" personId="{C14B99AD-C162-5A4E-85B5-752BE8B2EEEB}" id="{CBD70200-D65F-7F4B-8344-C45E180954C5}">
    <text>=CHOOSE(RANDBETWEEN(1,4),"Dog Food","Treats","Cat Food","Grooming Supplies")</text>
  </threadedComment>
  <threadedComment ref="I1" dT="2026-02-25T04:15:28.25" personId="{C14B99AD-C162-5A4E-85B5-752BE8B2EEEB}" id="{BC364FC7-8BC9-7745-9D76-70448AECE445}">
    <text>=LOOKUP(RAND(), {0,0.7,0.85,0.95,1}, {"Delivered","Pending","Backordered","Cancelled"})</text>
  </threadedComment>
  <threadedComment ref="J1" dT="2026-02-20T03:49:06.15" personId="{C14B99AD-C162-5A4E-85B5-752BE8B2EEEB}" id="{CC55D680-CF69-0948-B757-CB8B1E77D009}">
    <text>=IF(OR([@[Order_Status]]="Delivered", [@[Order_Status]]="Pending", [@[Order_Status]]="Backordered"),"Resolved","Open")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F95E-3255-5E4B-A8CE-A407251D6FFB}">
  <dimension ref="A1:E9"/>
  <sheetViews>
    <sheetView zoomScaleNormal="150" zoomScaleSheetLayoutView="100" workbookViewId="0">
      <selection activeCell="D2" sqref="D2"/>
    </sheetView>
  </sheetViews>
  <sheetFormatPr defaultRowHeight="15" x14ac:dyDescent="0.2"/>
  <cols>
    <col min="1" max="1" width="15.87109375" customWidth="1"/>
    <col min="2" max="2" width="17.890625" customWidth="1"/>
    <col min="3" max="3" width="18.6953125" bestFit="1" customWidth="1"/>
    <col min="4" max="4" width="15.87109375" bestFit="1" customWidth="1"/>
    <col min="5" max="5" width="20.58203125" bestFit="1" customWidth="1"/>
  </cols>
  <sheetData>
    <row r="1" spans="1:5" x14ac:dyDescent="0.2">
      <c r="A1" t="s">
        <v>0</v>
      </c>
      <c r="B1" s="10" t="s">
        <v>31</v>
      </c>
      <c r="C1" t="s">
        <v>32</v>
      </c>
      <c r="D1" t="s">
        <v>51</v>
      </c>
    </row>
    <row r="2" spans="1:5" x14ac:dyDescent="0.2">
      <c r="A2" s="1" t="s">
        <v>1</v>
      </c>
      <c r="B2" s="21">
        <f>COUNTIF(Table3[Vendors_ID],Table1[[#This Row],[Vendors_ID]])</f>
        <v>38</v>
      </c>
      <c r="C2" s="26">
        <f>SUMIF(Table6[[#All],[Vendor ID]],Table1[[#This Row],[Vendors_ID]],Table6[[#All],[Purchase Value]])</f>
        <v>349158</v>
      </c>
      <c r="D2" s="26">
        <f>SUMIFS(Table6[Purchase Value],Table6[Vendor ID],Table1[[#This Row],[Vendors_ID]],Table6[Order_Status],"Delivered")</f>
        <v>323822</v>
      </c>
      <c r="E2" s="20"/>
    </row>
    <row r="3" spans="1:5" x14ac:dyDescent="0.2">
      <c r="A3" t="s">
        <v>2</v>
      </c>
      <c r="B3" s="21">
        <f>COUNTIF(Table3[Vendors_ID],Table1[[#This Row],[Vendors_ID]])</f>
        <v>41</v>
      </c>
      <c r="C3" s="26">
        <f>SUMIF(Table6[[#All],[Vendor ID]],Table1[[#This Row],[Vendors_ID]],Table6[[#All],[Purchase Value]])</f>
        <v>425072</v>
      </c>
      <c r="D3" s="26">
        <f>SUMIFS(Table6[Purchase Value],Table6[Vendor ID],Table1[[#This Row],[Vendors_ID]],Table6[Order_Status],"Delivered")</f>
        <v>407377</v>
      </c>
    </row>
    <row r="4" spans="1:5" x14ac:dyDescent="0.2">
      <c r="A4" t="s">
        <v>3</v>
      </c>
      <c r="B4" s="21">
        <f>COUNTIF(Table3[Vendors_ID],Table1[[#This Row],[Vendors_ID]])</f>
        <v>30</v>
      </c>
      <c r="C4" s="26">
        <f>SUMIF(Table6[[#All],[Vendor ID]],Table1[[#This Row],[Vendors_ID]],Table6[[#All],[Purchase Value]])</f>
        <v>379270</v>
      </c>
      <c r="D4" s="26">
        <f>SUMIFS(Table6[Purchase Value],Table6[Vendor ID],Table1[[#This Row],[Vendors_ID]],Table6[Order_Status],"Delivered")</f>
        <v>373510</v>
      </c>
    </row>
    <row r="5" spans="1:5" x14ac:dyDescent="0.2">
      <c r="A5" t="s">
        <v>4</v>
      </c>
      <c r="B5" s="21">
        <f>COUNTIF(Table3[Vendors_ID],Table1[[#This Row],[Vendors_ID]])</f>
        <v>57</v>
      </c>
      <c r="C5" s="26">
        <f>SUMIF(Table6[[#All],[Vendor ID]],Table1[[#This Row],[Vendors_ID]],Table6[[#All],[Purchase Value]])</f>
        <v>502012</v>
      </c>
      <c r="D5" s="26">
        <f>SUMIFS(Table6[Purchase Value],Table6[Vendor ID],Table1[[#This Row],[Vendors_ID]],Table6[Order_Status],"Delivered")</f>
        <v>449948</v>
      </c>
    </row>
    <row r="6" spans="1:5" x14ac:dyDescent="0.2">
      <c r="A6" t="s">
        <v>22</v>
      </c>
      <c r="B6" s="21">
        <f>COUNTIF(Table3[Vendors_ID],Table1[[#This Row],[Vendors_ID]])</f>
        <v>33</v>
      </c>
      <c r="C6" s="26">
        <f>SUMIF(Table6[[#All],[Vendor ID]],Table1[[#This Row],[Vendors_ID]],Table6[[#All],[Purchase Value]])</f>
        <v>295744</v>
      </c>
      <c r="D6" s="26">
        <f>SUMIFS(Table6[Purchase Value],Table6[Vendor ID],Table1[[#This Row],[Vendors_ID]],Table6[Order_Status],"Delivered")</f>
        <v>286712</v>
      </c>
    </row>
    <row r="7" spans="1:5" x14ac:dyDescent="0.2">
      <c r="A7" t="s">
        <v>23</v>
      </c>
      <c r="B7" s="21">
        <f>COUNTIF(Table3[Vendors_ID],Table1[[#This Row],[Vendors_ID]])</f>
        <v>34</v>
      </c>
      <c r="C7" s="26">
        <f>SUMIF(Table6[[#All],[Vendor ID]],Table1[[#This Row],[Vendors_ID]],Table6[[#All],[Purchase Value]])</f>
        <v>339285</v>
      </c>
      <c r="D7" s="26">
        <f>SUMIFS(Table6[Purchase Value],Table6[Vendor ID],Table1[[#This Row],[Vendors_ID]],Table6[Order_Status],"Delivered")</f>
        <v>321594</v>
      </c>
    </row>
    <row r="8" spans="1:5" x14ac:dyDescent="0.2">
      <c r="A8" t="s">
        <v>20</v>
      </c>
      <c r="B8" s="21">
        <f>COUNTIF(Table3[Vendors_ID],Table1[[#This Row],[Vendors_ID]])</f>
        <v>31</v>
      </c>
      <c r="C8" s="26">
        <f>SUMIF(Table6[[#All],[Vendor ID]],Table1[[#This Row],[Vendors_ID]],Table6[[#All],[Purchase Value]])</f>
        <v>344612</v>
      </c>
      <c r="D8" s="26">
        <f>SUMIFS(Table6[Purchase Value],Table6[Vendor ID],Table1[[#This Row],[Vendors_ID]],Table6[Order_Status],"Delivered")</f>
        <v>340832</v>
      </c>
    </row>
    <row r="9" spans="1:5" x14ac:dyDescent="0.2">
      <c r="A9" t="s">
        <v>21</v>
      </c>
      <c r="B9" s="21">
        <f>COUNTIF(Table3[Vendors_ID],Table1[[#This Row],[Vendors_ID]])</f>
        <v>36</v>
      </c>
      <c r="C9" s="26">
        <f>SUMIF(Table6[[#All],[Vendor ID]],Table1[[#This Row],[Vendors_ID]],Table6[[#All],[Purchase Value]])</f>
        <v>332788</v>
      </c>
      <c r="D9" s="26">
        <f>SUMIFS(Table6[Purchase Value],Table6[Vendor ID],Table1[[#This Row],[Vendors_ID]],Table6[Order_Status],"Delivered")</f>
        <v>302505</v>
      </c>
    </row>
  </sheetData>
  <phoneticPr fontId="3" alignment="center"/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4190-EE4E-E14B-A6AC-84EF91624F5D}">
  <dimension ref="A1:I301"/>
  <sheetViews>
    <sheetView zoomScaleNormal="150" zoomScaleSheetLayoutView="100" workbookViewId="0">
      <selection activeCell="K15" sqref="K15"/>
    </sheetView>
  </sheetViews>
  <sheetFormatPr defaultRowHeight="15" x14ac:dyDescent="0.2"/>
  <cols>
    <col min="1" max="1" width="13.44921875" customWidth="1"/>
    <col min="2" max="2" width="17.3515625" bestFit="1" customWidth="1"/>
    <col min="3" max="3" width="13.046875" bestFit="1" customWidth="1"/>
    <col min="4" max="4" width="12.23828125" bestFit="1" customWidth="1"/>
    <col min="5" max="5" width="15.73828125" bestFit="1" customWidth="1"/>
    <col min="6" max="6" width="14.66015625" bestFit="1" customWidth="1"/>
    <col min="7" max="8" width="19.1015625" bestFit="1" customWidth="1"/>
    <col min="9" max="9" width="16.8125" customWidth="1"/>
  </cols>
  <sheetData>
    <row r="1" spans="1:9" x14ac:dyDescent="0.2">
      <c r="A1" s="8" t="s">
        <v>5</v>
      </c>
      <c r="B1" s="17" t="s">
        <v>0</v>
      </c>
      <c r="C1" s="8" t="s">
        <v>7</v>
      </c>
      <c r="D1" s="8" t="s">
        <v>8</v>
      </c>
      <c r="E1" s="8" t="s">
        <v>10</v>
      </c>
      <c r="F1" s="8" t="s">
        <v>9</v>
      </c>
      <c r="G1" s="8" t="s">
        <v>11</v>
      </c>
      <c r="H1" s="8" t="s">
        <v>19</v>
      </c>
      <c r="I1" t="s">
        <v>62</v>
      </c>
    </row>
    <row r="2" spans="1:9" ht="15" customHeight="1" x14ac:dyDescent="0.2">
      <c r="A2" s="3">
        <v>101</v>
      </c>
      <c r="B2" s="18" t="s">
        <v>3</v>
      </c>
      <c r="C2" s="12" t="s">
        <v>24</v>
      </c>
      <c r="D2" s="3" t="s">
        <v>12</v>
      </c>
      <c r="E2" s="4">
        <v>45666</v>
      </c>
      <c r="F2" s="15">
        <v>24</v>
      </c>
      <c r="G2" s="4">
        <v>45670</v>
      </c>
      <c r="H2" s="14" t="s">
        <v>29</v>
      </c>
      <c r="I2" t="s">
        <v>62</v>
      </c>
    </row>
    <row r="3" spans="1:9" ht="12.75" customHeight="1" x14ac:dyDescent="0.2">
      <c r="A3" s="5">
        <v>102</v>
      </c>
      <c r="B3" s="19" t="s">
        <v>4</v>
      </c>
      <c r="C3" s="13" t="s">
        <v>25</v>
      </c>
      <c r="D3" s="5" t="s">
        <v>14</v>
      </c>
      <c r="E3" s="6">
        <v>45682</v>
      </c>
      <c r="F3" s="16">
        <v>72</v>
      </c>
      <c r="G3" s="11">
        <v>45688</v>
      </c>
      <c r="H3" s="7" t="s">
        <v>29</v>
      </c>
      <c r="I3" t="s">
        <v>62</v>
      </c>
    </row>
    <row r="4" spans="1:9" ht="15.75" customHeight="1" x14ac:dyDescent="0.2">
      <c r="A4" s="3">
        <v>103</v>
      </c>
      <c r="B4" s="18" t="s">
        <v>20</v>
      </c>
      <c r="C4" s="12" t="s">
        <v>25</v>
      </c>
      <c r="D4" s="3" t="s">
        <v>13</v>
      </c>
      <c r="E4" s="4">
        <v>45668</v>
      </c>
      <c r="F4" s="15">
        <v>72</v>
      </c>
      <c r="G4" s="4">
        <v>45670</v>
      </c>
      <c r="H4" s="14" t="s">
        <v>30</v>
      </c>
      <c r="I4" t="s">
        <v>62</v>
      </c>
    </row>
    <row r="5" spans="1:9" ht="15.75" customHeight="1" x14ac:dyDescent="0.2">
      <c r="A5" s="5">
        <v>104</v>
      </c>
      <c r="B5" s="19" t="s">
        <v>20</v>
      </c>
      <c r="C5" s="13" t="s">
        <v>25</v>
      </c>
      <c r="D5" s="5" t="s">
        <v>13</v>
      </c>
      <c r="E5" s="6">
        <v>45672</v>
      </c>
      <c r="F5" s="16">
        <v>72</v>
      </c>
      <c r="G5" s="11">
        <v>45678</v>
      </c>
      <c r="H5" s="7" t="s">
        <v>29</v>
      </c>
      <c r="I5" t="s">
        <v>62</v>
      </c>
    </row>
    <row r="6" spans="1:9" ht="15.75" customHeight="1" x14ac:dyDescent="0.2">
      <c r="A6" s="3">
        <v>105</v>
      </c>
      <c r="B6" s="18" t="s">
        <v>2</v>
      </c>
      <c r="C6" s="12" t="s">
        <v>25</v>
      </c>
      <c r="D6" s="3" t="s">
        <v>14</v>
      </c>
      <c r="E6" s="4">
        <v>45666</v>
      </c>
      <c r="F6" s="15">
        <v>24</v>
      </c>
      <c r="G6" s="4">
        <v>45669</v>
      </c>
      <c r="H6" s="14" t="s">
        <v>29</v>
      </c>
      <c r="I6" t="s">
        <v>62</v>
      </c>
    </row>
    <row r="7" spans="1:9" ht="27.75" x14ac:dyDescent="0.2">
      <c r="A7" s="5">
        <v>106</v>
      </c>
      <c r="B7" s="19" t="s">
        <v>2</v>
      </c>
      <c r="C7" s="13" t="s">
        <v>26</v>
      </c>
      <c r="D7" s="5" t="s">
        <v>12</v>
      </c>
      <c r="E7" s="6">
        <v>45684</v>
      </c>
      <c r="F7" s="16">
        <v>72</v>
      </c>
      <c r="G7" s="11">
        <v>45691</v>
      </c>
      <c r="H7" s="7" t="s">
        <v>29</v>
      </c>
      <c r="I7" t="s">
        <v>62</v>
      </c>
    </row>
    <row r="8" spans="1:9" ht="27.75" x14ac:dyDescent="0.2">
      <c r="A8" s="3">
        <v>107</v>
      </c>
      <c r="B8" s="18" t="s">
        <v>20</v>
      </c>
      <c r="C8" s="12" t="s">
        <v>25</v>
      </c>
      <c r="D8" s="3" t="s">
        <v>12</v>
      </c>
      <c r="E8" s="4">
        <v>45672</v>
      </c>
      <c r="F8" s="15">
        <v>48</v>
      </c>
      <c r="G8" s="4">
        <v>45672</v>
      </c>
      <c r="H8" s="14" t="s">
        <v>30</v>
      </c>
      <c r="I8" t="s">
        <v>62</v>
      </c>
    </row>
    <row r="9" spans="1:9" x14ac:dyDescent="0.2">
      <c r="A9" s="5">
        <v>108</v>
      </c>
      <c r="B9" s="19" t="s">
        <v>3</v>
      </c>
      <c r="C9" s="13" t="s">
        <v>27</v>
      </c>
      <c r="D9" s="5" t="s">
        <v>12</v>
      </c>
      <c r="E9" s="6">
        <v>45668</v>
      </c>
      <c r="F9" s="16">
        <v>72</v>
      </c>
      <c r="G9" s="11">
        <v>45672</v>
      </c>
      <c r="H9" s="7" t="s">
        <v>29</v>
      </c>
      <c r="I9" t="s">
        <v>62</v>
      </c>
    </row>
    <row r="10" spans="1:9" ht="27.75" x14ac:dyDescent="0.2">
      <c r="A10" s="3">
        <v>109</v>
      </c>
      <c r="B10" s="18" t="s">
        <v>23</v>
      </c>
      <c r="C10" s="12" t="s">
        <v>26</v>
      </c>
      <c r="D10" s="3" t="s">
        <v>14</v>
      </c>
      <c r="E10" s="4">
        <v>45663</v>
      </c>
      <c r="F10" s="15">
        <v>72</v>
      </c>
      <c r="G10" s="4">
        <v>45664</v>
      </c>
      <c r="H10" s="14" t="s">
        <v>30</v>
      </c>
      <c r="I10" t="s">
        <v>62</v>
      </c>
    </row>
    <row r="11" spans="1:9" x14ac:dyDescent="0.2">
      <c r="A11" s="5">
        <v>110</v>
      </c>
      <c r="B11" s="19" t="s">
        <v>23</v>
      </c>
      <c r="C11" s="13" t="s">
        <v>24</v>
      </c>
      <c r="D11" s="5" t="s">
        <v>12</v>
      </c>
      <c r="E11" s="6">
        <v>45685</v>
      </c>
      <c r="F11" s="16">
        <v>48</v>
      </c>
      <c r="G11" s="11">
        <v>45689</v>
      </c>
      <c r="H11" s="7" t="s">
        <v>29</v>
      </c>
      <c r="I11" t="s">
        <v>62</v>
      </c>
    </row>
    <row r="12" spans="1:9" x14ac:dyDescent="0.2">
      <c r="A12" s="3">
        <v>111</v>
      </c>
      <c r="B12" s="18" t="s">
        <v>22</v>
      </c>
      <c r="C12" s="12" t="s">
        <v>28</v>
      </c>
      <c r="D12" s="3" t="s">
        <v>13</v>
      </c>
      <c r="E12" s="4">
        <v>45662</v>
      </c>
      <c r="F12" s="15">
        <v>24</v>
      </c>
      <c r="G12" s="4">
        <v>45669</v>
      </c>
      <c r="H12" s="14" t="s">
        <v>29</v>
      </c>
      <c r="I12" t="s">
        <v>62</v>
      </c>
    </row>
    <row r="13" spans="1:9" x14ac:dyDescent="0.2">
      <c r="A13" s="5">
        <v>112</v>
      </c>
      <c r="B13" s="19" t="s">
        <v>22</v>
      </c>
      <c r="C13" s="13" t="s">
        <v>24</v>
      </c>
      <c r="D13" s="5" t="s">
        <v>14</v>
      </c>
      <c r="E13" s="6">
        <v>45678</v>
      </c>
      <c r="F13" s="16">
        <v>48</v>
      </c>
      <c r="G13" s="11">
        <v>45682</v>
      </c>
      <c r="H13" s="7" t="s">
        <v>29</v>
      </c>
      <c r="I13" t="s">
        <v>63</v>
      </c>
    </row>
    <row r="14" spans="1:9" x14ac:dyDescent="0.2">
      <c r="A14" s="3">
        <v>113</v>
      </c>
      <c r="B14" s="18" t="s">
        <v>4</v>
      </c>
      <c r="C14" s="12" t="s">
        <v>27</v>
      </c>
      <c r="D14" s="3" t="s">
        <v>13</v>
      </c>
      <c r="E14" s="4">
        <v>45684</v>
      </c>
      <c r="F14" s="15">
        <v>48</v>
      </c>
      <c r="G14" s="4">
        <v>45685</v>
      </c>
      <c r="H14" s="14" t="s">
        <v>30</v>
      </c>
      <c r="I14" t="s">
        <v>62</v>
      </c>
    </row>
    <row r="15" spans="1:9" x14ac:dyDescent="0.2">
      <c r="A15" s="5">
        <v>114</v>
      </c>
      <c r="B15" s="19" t="s">
        <v>21</v>
      </c>
      <c r="C15" s="13" t="s">
        <v>27</v>
      </c>
      <c r="D15" s="5" t="s">
        <v>14</v>
      </c>
      <c r="E15" s="6">
        <v>45661</v>
      </c>
      <c r="F15" s="16">
        <v>48</v>
      </c>
      <c r="G15" s="11">
        <v>45663</v>
      </c>
      <c r="H15" s="7" t="s">
        <v>30</v>
      </c>
      <c r="I15" t="s">
        <v>62</v>
      </c>
    </row>
    <row r="16" spans="1:9" x14ac:dyDescent="0.2">
      <c r="A16" s="3">
        <v>115</v>
      </c>
      <c r="B16" s="18" t="s">
        <v>3</v>
      </c>
      <c r="C16" s="12" t="s">
        <v>28</v>
      </c>
      <c r="D16" s="3" t="s">
        <v>12</v>
      </c>
      <c r="E16" s="4">
        <v>45666</v>
      </c>
      <c r="F16" s="15">
        <v>72</v>
      </c>
      <c r="G16" s="4">
        <v>45666</v>
      </c>
      <c r="H16" s="14" t="s">
        <v>30</v>
      </c>
      <c r="I16" t="s">
        <v>62</v>
      </c>
    </row>
    <row r="17" spans="1:9" ht="27.75" x14ac:dyDescent="0.2">
      <c r="A17" s="5">
        <v>116</v>
      </c>
      <c r="B17" s="19" t="s">
        <v>3</v>
      </c>
      <c r="C17" s="13" t="s">
        <v>25</v>
      </c>
      <c r="D17" s="5" t="s">
        <v>14</v>
      </c>
      <c r="E17" s="6">
        <v>45679</v>
      </c>
      <c r="F17" s="16">
        <v>24</v>
      </c>
      <c r="G17" s="11">
        <v>45684</v>
      </c>
      <c r="H17" s="7" t="s">
        <v>29</v>
      </c>
      <c r="I17" t="s">
        <v>63</v>
      </c>
    </row>
    <row r="18" spans="1:9" x14ac:dyDescent="0.2">
      <c r="A18" s="3">
        <v>117</v>
      </c>
      <c r="B18" s="18" t="s">
        <v>1</v>
      </c>
      <c r="C18" s="12" t="s">
        <v>27</v>
      </c>
      <c r="D18" s="3" t="s">
        <v>13</v>
      </c>
      <c r="E18" s="4">
        <v>45680</v>
      </c>
      <c r="F18" s="15">
        <v>72</v>
      </c>
      <c r="G18" s="4">
        <v>45683</v>
      </c>
      <c r="H18" s="14" t="s">
        <v>30</v>
      </c>
      <c r="I18" t="s">
        <v>62</v>
      </c>
    </row>
    <row r="19" spans="1:9" ht="27.75" x14ac:dyDescent="0.2">
      <c r="A19" s="5">
        <v>118</v>
      </c>
      <c r="B19" s="19" t="s">
        <v>2</v>
      </c>
      <c r="C19" s="13" t="s">
        <v>25</v>
      </c>
      <c r="D19" s="5" t="s">
        <v>12</v>
      </c>
      <c r="E19" s="6">
        <v>45671</v>
      </c>
      <c r="F19" s="16">
        <v>48</v>
      </c>
      <c r="G19" s="11">
        <v>45671</v>
      </c>
      <c r="H19" s="7" t="s">
        <v>30</v>
      </c>
      <c r="I19" t="s">
        <v>62</v>
      </c>
    </row>
    <row r="20" spans="1:9" ht="27.75" x14ac:dyDescent="0.2">
      <c r="A20" s="3">
        <v>119</v>
      </c>
      <c r="B20" s="18" t="s">
        <v>2</v>
      </c>
      <c r="C20" s="12" t="s">
        <v>25</v>
      </c>
      <c r="D20" s="3" t="s">
        <v>14</v>
      </c>
      <c r="E20" s="4">
        <v>45673</v>
      </c>
      <c r="F20" s="15">
        <v>48</v>
      </c>
      <c r="G20" s="4">
        <v>45673</v>
      </c>
      <c r="H20" s="14" t="s">
        <v>30</v>
      </c>
      <c r="I20" t="s">
        <v>62</v>
      </c>
    </row>
    <row r="21" spans="1:9" x14ac:dyDescent="0.2">
      <c r="A21" s="5">
        <v>120</v>
      </c>
      <c r="B21" s="19" t="s">
        <v>2</v>
      </c>
      <c r="C21" s="13" t="s">
        <v>24</v>
      </c>
      <c r="D21" s="5" t="s">
        <v>14</v>
      </c>
      <c r="E21" s="6">
        <v>45681</v>
      </c>
      <c r="F21" s="16">
        <v>24</v>
      </c>
      <c r="G21" s="11">
        <v>45681</v>
      </c>
      <c r="H21" s="7" t="s">
        <v>30</v>
      </c>
      <c r="I21" t="s">
        <v>62</v>
      </c>
    </row>
    <row r="22" spans="1:9" x14ac:dyDescent="0.2">
      <c r="A22" s="3">
        <v>121</v>
      </c>
      <c r="B22" s="18" t="s">
        <v>23</v>
      </c>
      <c r="C22" s="12" t="s">
        <v>27</v>
      </c>
      <c r="D22" s="3" t="s">
        <v>13</v>
      </c>
      <c r="E22" s="4">
        <v>45676</v>
      </c>
      <c r="F22" s="15">
        <v>72</v>
      </c>
      <c r="G22" s="4">
        <v>45682</v>
      </c>
      <c r="H22" s="14" t="s">
        <v>29</v>
      </c>
      <c r="I22" t="s">
        <v>63</v>
      </c>
    </row>
    <row r="23" spans="1:9" x14ac:dyDescent="0.2">
      <c r="A23" s="5">
        <v>122</v>
      </c>
      <c r="B23" s="19" t="s">
        <v>1</v>
      </c>
      <c r="C23" s="13" t="s">
        <v>27</v>
      </c>
      <c r="D23" s="5" t="s">
        <v>12</v>
      </c>
      <c r="E23" s="6">
        <v>45669</v>
      </c>
      <c r="F23" s="16">
        <v>72</v>
      </c>
      <c r="G23" s="11">
        <v>45674</v>
      </c>
      <c r="H23" s="7" t="s">
        <v>29</v>
      </c>
      <c r="I23" t="s">
        <v>62</v>
      </c>
    </row>
    <row r="24" spans="1:9" ht="27.75" x14ac:dyDescent="0.2">
      <c r="A24" s="3">
        <v>123</v>
      </c>
      <c r="B24" s="18" t="s">
        <v>23</v>
      </c>
      <c r="C24" s="12" t="s">
        <v>25</v>
      </c>
      <c r="D24" s="3" t="s">
        <v>13</v>
      </c>
      <c r="E24" s="4">
        <v>45659</v>
      </c>
      <c r="F24" s="15">
        <v>24</v>
      </c>
      <c r="G24" s="4">
        <v>45661</v>
      </c>
      <c r="H24" s="14" t="s">
        <v>29</v>
      </c>
      <c r="I24" t="s">
        <v>62</v>
      </c>
    </row>
    <row r="25" spans="1:9" x14ac:dyDescent="0.2">
      <c r="A25" s="5">
        <v>124</v>
      </c>
      <c r="B25" s="19" t="s">
        <v>4</v>
      </c>
      <c r="C25" s="13" t="s">
        <v>28</v>
      </c>
      <c r="D25" s="5" t="s">
        <v>13</v>
      </c>
      <c r="E25" s="6">
        <v>45669</v>
      </c>
      <c r="F25" s="16">
        <v>48</v>
      </c>
      <c r="G25" s="11">
        <v>45671</v>
      </c>
      <c r="H25" s="7" t="s">
        <v>30</v>
      </c>
      <c r="I25" t="s">
        <v>62</v>
      </c>
    </row>
    <row r="26" spans="1:9" x14ac:dyDescent="0.2">
      <c r="A26" s="3">
        <v>125</v>
      </c>
      <c r="B26" s="18" t="s">
        <v>1</v>
      </c>
      <c r="C26" s="12" t="s">
        <v>27</v>
      </c>
      <c r="D26" s="3" t="s">
        <v>14</v>
      </c>
      <c r="E26" s="4">
        <v>45662</v>
      </c>
      <c r="F26" s="15">
        <v>72</v>
      </c>
      <c r="G26" s="4">
        <v>45664</v>
      </c>
      <c r="H26" s="14" t="s">
        <v>30</v>
      </c>
      <c r="I26" t="s">
        <v>62</v>
      </c>
    </row>
    <row r="27" spans="1:9" ht="27.75" x14ac:dyDescent="0.2">
      <c r="A27" s="5">
        <v>126</v>
      </c>
      <c r="B27" s="19" t="s">
        <v>22</v>
      </c>
      <c r="C27" s="13" t="s">
        <v>26</v>
      </c>
      <c r="D27" s="5" t="s">
        <v>14</v>
      </c>
      <c r="E27" s="6">
        <v>45663</v>
      </c>
      <c r="F27" s="16">
        <v>48</v>
      </c>
      <c r="G27" s="11">
        <v>45664</v>
      </c>
      <c r="H27" s="7" t="s">
        <v>30</v>
      </c>
      <c r="I27" t="s">
        <v>62</v>
      </c>
    </row>
    <row r="28" spans="1:9" ht="27.75" x14ac:dyDescent="0.2">
      <c r="A28" s="3">
        <v>127</v>
      </c>
      <c r="B28" s="18" t="s">
        <v>21</v>
      </c>
      <c r="C28" s="12" t="s">
        <v>26</v>
      </c>
      <c r="D28" s="3" t="s">
        <v>12</v>
      </c>
      <c r="E28" s="4">
        <v>45685</v>
      </c>
      <c r="F28" s="15">
        <v>24</v>
      </c>
      <c r="G28" s="4">
        <v>45692</v>
      </c>
      <c r="H28" s="14" t="s">
        <v>29</v>
      </c>
      <c r="I28" t="s">
        <v>62</v>
      </c>
    </row>
    <row r="29" spans="1:9" x14ac:dyDescent="0.2">
      <c r="A29" s="5">
        <v>128</v>
      </c>
      <c r="B29" s="19" t="s">
        <v>20</v>
      </c>
      <c r="C29" s="13" t="s">
        <v>27</v>
      </c>
      <c r="D29" s="5" t="s">
        <v>14</v>
      </c>
      <c r="E29" s="6">
        <v>45681</v>
      </c>
      <c r="F29" s="16">
        <v>24</v>
      </c>
      <c r="G29" s="11">
        <v>45686</v>
      </c>
      <c r="H29" s="7" t="s">
        <v>29</v>
      </c>
      <c r="I29" t="s">
        <v>62</v>
      </c>
    </row>
    <row r="30" spans="1:9" ht="27.75" x14ac:dyDescent="0.2">
      <c r="A30" s="3">
        <v>129</v>
      </c>
      <c r="B30" s="18" t="s">
        <v>1</v>
      </c>
      <c r="C30" s="12" t="s">
        <v>25</v>
      </c>
      <c r="D30" s="3" t="s">
        <v>14</v>
      </c>
      <c r="E30" s="4">
        <v>45683</v>
      </c>
      <c r="F30" s="15">
        <v>24</v>
      </c>
      <c r="G30" s="4">
        <v>45686</v>
      </c>
      <c r="H30" s="14" t="s">
        <v>29</v>
      </c>
      <c r="I30" t="s">
        <v>62</v>
      </c>
    </row>
    <row r="31" spans="1:9" ht="27.75" x14ac:dyDescent="0.2">
      <c r="A31" s="5">
        <v>130</v>
      </c>
      <c r="B31" s="19" t="s">
        <v>20</v>
      </c>
      <c r="C31" s="13" t="s">
        <v>26</v>
      </c>
      <c r="D31" s="5" t="s">
        <v>13</v>
      </c>
      <c r="E31" s="6">
        <v>45662</v>
      </c>
      <c r="F31" s="16">
        <v>48</v>
      </c>
      <c r="G31" s="11">
        <v>45662</v>
      </c>
      <c r="H31" s="7" t="s">
        <v>30</v>
      </c>
      <c r="I31" t="s">
        <v>62</v>
      </c>
    </row>
    <row r="32" spans="1:9" ht="27.75" x14ac:dyDescent="0.2">
      <c r="A32" s="3">
        <v>131</v>
      </c>
      <c r="B32" s="18" t="s">
        <v>3</v>
      </c>
      <c r="C32" s="12" t="s">
        <v>26</v>
      </c>
      <c r="D32" s="3" t="s">
        <v>12</v>
      </c>
      <c r="E32" s="4">
        <v>45685</v>
      </c>
      <c r="F32" s="15">
        <v>72</v>
      </c>
      <c r="G32" s="4">
        <v>45689</v>
      </c>
      <c r="H32" s="14" t="s">
        <v>29</v>
      </c>
      <c r="I32" t="s">
        <v>62</v>
      </c>
    </row>
    <row r="33" spans="1:9" x14ac:dyDescent="0.2">
      <c r="A33" s="5">
        <v>132</v>
      </c>
      <c r="B33" s="19" t="s">
        <v>22</v>
      </c>
      <c r="C33" s="13" t="s">
        <v>24</v>
      </c>
      <c r="D33" s="5" t="s">
        <v>14</v>
      </c>
      <c r="E33" s="6">
        <v>45664</v>
      </c>
      <c r="F33" s="16">
        <v>48</v>
      </c>
      <c r="G33" s="11">
        <v>45671</v>
      </c>
      <c r="H33" s="7" t="s">
        <v>29</v>
      </c>
      <c r="I33" t="s">
        <v>62</v>
      </c>
    </row>
    <row r="34" spans="1:9" ht="27.75" x14ac:dyDescent="0.2">
      <c r="A34" s="3">
        <v>133</v>
      </c>
      <c r="B34" s="18" t="s">
        <v>4</v>
      </c>
      <c r="C34" s="12" t="s">
        <v>26</v>
      </c>
      <c r="D34" s="3" t="s">
        <v>12</v>
      </c>
      <c r="E34" s="4">
        <v>45671</v>
      </c>
      <c r="F34" s="15">
        <v>24</v>
      </c>
      <c r="G34" s="4">
        <v>45674</v>
      </c>
      <c r="H34" s="14" t="s">
        <v>29</v>
      </c>
      <c r="I34" t="s">
        <v>62</v>
      </c>
    </row>
    <row r="35" spans="1:9" x14ac:dyDescent="0.2">
      <c r="A35" s="5">
        <v>134</v>
      </c>
      <c r="B35" s="19" t="s">
        <v>4</v>
      </c>
      <c r="C35" s="13" t="s">
        <v>24</v>
      </c>
      <c r="D35" s="5" t="s">
        <v>12</v>
      </c>
      <c r="E35" s="6">
        <v>45662</v>
      </c>
      <c r="F35" s="16">
        <v>48</v>
      </c>
      <c r="G35" s="11">
        <v>45664</v>
      </c>
      <c r="H35" s="7" t="s">
        <v>30</v>
      </c>
      <c r="I35" t="s">
        <v>62</v>
      </c>
    </row>
    <row r="36" spans="1:9" x14ac:dyDescent="0.2">
      <c r="A36" s="3">
        <v>135</v>
      </c>
      <c r="B36" s="18" t="s">
        <v>21</v>
      </c>
      <c r="C36" s="12" t="s">
        <v>27</v>
      </c>
      <c r="D36" s="3" t="s">
        <v>14</v>
      </c>
      <c r="E36" s="4">
        <v>45668</v>
      </c>
      <c r="F36" s="15">
        <v>72</v>
      </c>
      <c r="G36" s="4">
        <v>45671</v>
      </c>
      <c r="H36" s="14" t="s">
        <v>30</v>
      </c>
      <c r="I36" t="s">
        <v>62</v>
      </c>
    </row>
    <row r="37" spans="1:9" ht="27.75" x14ac:dyDescent="0.2">
      <c r="A37" s="5">
        <v>136</v>
      </c>
      <c r="B37" s="19" t="s">
        <v>1</v>
      </c>
      <c r="C37" s="13" t="s">
        <v>26</v>
      </c>
      <c r="D37" s="5" t="s">
        <v>13</v>
      </c>
      <c r="E37" s="6">
        <v>45665</v>
      </c>
      <c r="F37" s="16">
        <v>24</v>
      </c>
      <c r="G37" s="11">
        <v>45672</v>
      </c>
      <c r="H37" s="7" t="s">
        <v>29</v>
      </c>
      <c r="I37" t="s">
        <v>62</v>
      </c>
    </row>
    <row r="38" spans="1:9" x14ac:dyDescent="0.2">
      <c r="A38" s="3">
        <v>137</v>
      </c>
      <c r="B38" s="18" t="s">
        <v>20</v>
      </c>
      <c r="C38" s="12" t="s">
        <v>28</v>
      </c>
      <c r="D38" s="3" t="s">
        <v>14</v>
      </c>
      <c r="E38" s="4">
        <v>45686</v>
      </c>
      <c r="F38" s="15">
        <v>48</v>
      </c>
      <c r="G38" s="4">
        <v>45686</v>
      </c>
      <c r="H38" s="14" t="s">
        <v>30</v>
      </c>
      <c r="I38" t="s">
        <v>62</v>
      </c>
    </row>
    <row r="39" spans="1:9" ht="27.75" x14ac:dyDescent="0.2">
      <c r="A39" s="5">
        <v>138</v>
      </c>
      <c r="B39" s="19" t="s">
        <v>22</v>
      </c>
      <c r="C39" s="13" t="s">
        <v>25</v>
      </c>
      <c r="D39" s="5" t="s">
        <v>14</v>
      </c>
      <c r="E39" s="6">
        <v>45667</v>
      </c>
      <c r="F39" s="16">
        <v>24</v>
      </c>
      <c r="G39" s="11">
        <v>45668</v>
      </c>
      <c r="H39" s="7" t="s">
        <v>30</v>
      </c>
      <c r="I39" t="s">
        <v>62</v>
      </c>
    </row>
    <row r="40" spans="1:9" ht="27.75" x14ac:dyDescent="0.2">
      <c r="A40" s="3">
        <v>139</v>
      </c>
      <c r="B40" s="18" t="s">
        <v>3</v>
      </c>
      <c r="C40" s="12" t="s">
        <v>25</v>
      </c>
      <c r="D40" s="3" t="s">
        <v>12</v>
      </c>
      <c r="E40" s="4">
        <v>45664</v>
      </c>
      <c r="F40" s="15">
        <v>24</v>
      </c>
      <c r="G40" s="4">
        <v>45668</v>
      </c>
      <c r="H40" s="14" t="s">
        <v>29</v>
      </c>
      <c r="I40" t="s">
        <v>62</v>
      </c>
    </row>
    <row r="41" spans="1:9" x14ac:dyDescent="0.2">
      <c r="A41" s="5">
        <v>140</v>
      </c>
      <c r="B41" s="19" t="s">
        <v>21</v>
      </c>
      <c r="C41" s="13" t="s">
        <v>24</v>
      </c>
      <c r="D41" s="5" t="s">
        <v>12</v>
      </c>
      <c r="E41" s="6">
        <v>45661</v>
      </c>
      <c r="F41" s="16">
        <v>48</v>
      </c>
      <c r="G41" s="11">
        <v>45661</v>
      </c>
      <c r="H41" s="7" t="s">
        <v>30</v>
      </c>
      <c r="I41" t="s">
        <v>62</v>
      </c>
    </row>
    <row r="42" spans="1:9" x14ac:dyDescent="0.2">
      <c r="A42" s="3">
        <v>141</v>
      </c>
      <c r="B42" s="18" t="s">
        <v>22</v>
      </c>
      <c r="C42" s="12" t="s">
        <v>24</v>
      </c>
      <c r="D42" s="3" t="s">
        <v>12</v>
      </c>
      <c r="E42" s="4">
        <v>45678</v>
      </c>
      <c r="F42" s="15">
        <v>72</v>
      </c>
      <c r="G42" s="4">
        <v>45685</v>
      </c>
      <c r="H42" s="14" t="s">
        <v>29</v>
      </c>
      <c r="I42" t="s">
        <v>63</v>
      </c>
    </row>
    <row r="43" spans="1:9" x14ac:dyDescent="0.2">
      <c r="A43" s="5">
        <v>142</v>
      </c>
      <c r="B43" s="19" t="s">
        <v>23</v>
      </c>
      <c r="C43" s="13" t="s">
        <v>27</v>
      </c>
      <c r="D43" s="5" t="s">
        <v>13</v>
      </c>
      <c r="E43" s="6">
        <v>45671</v>
      </c>
      <c r="F43" s="16">
        <v>48</v>
      </c>
      <c r="G43" s="11">
        <v>45675</v>
      </c>
      <c r="H43" s="7" t="s">
        <v>29</v>
      </c>
      <c r="I43" t="s">
        <v>62</v>
      </c>
    </row>
    <row r="44" spans="1:9" ht="27.75" x14ac:dyDescent="0.2">
      <c r="A44" s="3">
        <v>143</v>
      </c>
      <c r="B44" s="18" t="s">
        <v>2</v>
      </c>
      <c r="C44" s="12" t="s">
        <v>26</v>
      </c>
      <c r="D44" s="3" t="s">
        <v>13</v>
      </c>
      <c r="E44" s="4">
        <v>45666</v>
      </c>
      <c r="F44" s="15">
        <v>24</v>
      </c>
      <c r="G44" s="4">
        <v>45670</v>
      </c>
      <c r="H44" s="14" t="s">
        <v>29</v>
      </c>
      <c r="I44" t="s">
        <v>62</v>
      </c>
    </row>
    <row r="45" spans="1:9" x14ac:dyDescent="0.2">
      <c r="A45" s="5">
        <v>144</v>
      </c>
      <c r="B45" s="19" t="s">
        <v>3</v>
      </c>
      <c r="C45" s="13" t="s">
        <v>28</v>
      </c>
      <c r="D45" s="5" t="s">
        <v>13</v>
      </c>
      <c r="E45" s="6">
        <v>45670</v>
      </c>
      <c r="F45" s="16">
        <v>24</v>
      </c>
      <c r="G45" s="11">
        <v>45676</v>
      </c>
      <c r="H45" s="7" t="s">
        <v>29</v>
      </c>
      <c r="I45" t="s">
        <v>62</v>
      </c>
    </row>
    <row r="46" spans="1:9" x14ac:dyDescent="0.2">
      <c r="A46" s="3">
        <v>145</v>
      </c>
      <c r="B46" s="18" t="s">
        <v>1</v>
      </c>
      <c r="C46" s="12" t="s">
        <v>28</v>
      </c>
      <c r="D46" s="3" t="s">
        <v>14</v>
      </c>
      <c r="E46" s="4">
        <v>45681</v>
      </c>
      <c r="F46" s="15">
        <v>48</v>
      </c>
      <c r="G46" s="4">
        <v>45682</v>
      </c>
      <c r="H46" s="14" t="s">
        <v>30</v>
      </c>
      <c r="I46" t="s">
        <v>62</v>
      </c>
    </row>
    <row r="47" spans="1:9" x14ac:dyDescent="0.2">
      <c r="A47" s="5">
        <v>146</v>
      </c>
      <c r="B47" s="19" t="s">
        <v>1</v>
      </c>
      <c r="C47" s="13" t="s">
        <v>27</v>
      </c>
      <c r="D47" s="5" t="s">
        <v>12</v>
      </c>
      <c r="E47" s="6">
        <v>45683</v>
      </c>
      <c r="F47" s="16">
        <v>48</v>
      </c>
      <c r="G47" s="11">
        <v>45686</v>
      </c>
      <c r="H47" s="7" t="s">
        <v>29</v>
      </c>
      <c r="I47" t="s">
        <v>62</v>
      </c>
    </row>
    <row r="48" spans="1:9" ht="27.75" x14ac:dyDescent="0.2">
      <c r="A48" s="3">
        <v>147</v>
      </c>
      <c r="B48" s="18" t="s">
        <v>22</v>
      </c>
      <c r="C48" s="12" t="s">
        <v>26</v>
      </c>
      <c r="D48" s="3" t="s">
        <v>14</v>
      </c>
      <c r="E48" s="4">
        <v>45683</v>
      </c>
      <c r="F48" s="15">
        <v>24</v>
      </c>
      <c r="G48" s="4">
        <v>45687</v>
      </c>
      <c r="H48" s="14" t="s">
        <v>29</v>
      </c>
      <c r="I48" t="s">
        <v>62</v>
      </c>
    </row>
    <row r="49" spans="1:9" ht="27.75" x14ac:dyDescent="0.2">
      <c r="A49" s="5">
        <v>148</v>
      </c>
      <c r="B49" s="19" t="s">
        <v>1</v>
      </c>
      <c r="C49" s="13" t="s">
        <v>26</v>
      </c>
      <c r="D49" s="5" t="s">
        <v>13</v>
      </c>
      <c r="E49" s="6">
        <v>45674</v>
      </c>
      <c r="F49" s="16">
        <v>24</v>
      </c>
      <c r="G49" s="11">
        <v>45677</v>
      </c>
      <c r="H49" s="7" t="s">
        <v>29</v>
      </c>
      <c r="I49" t="s">
        <v>62</v>
      </c>
    </row>
    <row r="50" spans="1:9" x14ac:dyDescent="0.2">
      <c r="A50" s="3">
        <v>149</v>
      </c>
      <c r="B50" s="18" t="s">
        <v>21</v>
      </c>
      <c r="C50" s="12" t="s">
        <v>28</v>
      </c>
      <c r="D50" s="3" t="s">
        <v>12</v>
      </c>
      <c r="E50" s="4">
        <v>45680</v>
      </c>
      <c r="F50" s="15">
        <v>24</v>
      </c>
      <c r="G50" s="4">
        <v>45684</v>
      </c>
      <c r="H50" s="14" t="s">
        <v>29</v>
      </c>
      <c r="I50" t="s">
        <v>62</v>
      </c>
    </row>
    <row r="51" spans="1:9" ht="27.75" x14ac:dyDescent="0.2">
      <c r="A51" s="5">
        <v>150</v>
      </c>
      <c r="B51" s="19" t="s">
        <v>20</v>
      </c>
      <c r="C51" s="13" t="s">
        <v>26</v>
      </c>
      <c r="D51" s="5" t="s">
        <v>12</v>
      </c>
      <c r="E51" s="6">
        <v>45685</v>
      </c>
      <c r="F51" s="16">
        <v>24</v>
      </c>
      <c r="G51" s="11">
        <v>45690</v>
      </c>
      <c r="H51" s="7" t="s">
        <v>29</v>
      </c>
      <c r="I51" t="s">
        <v>62</v>
      </c>
    </row>
    <row r="52" spans="1:9" x14ac:dyDescent="0.2">
      <c r="A52" s="3">
        <v>151</v>
      </c>
      <c r="B52" s="18" t="s">
        <v>23</v>
      </c>
      <c r="C52" s="12" t="s">
        <v>27</v>
      </c>
      <c r="D52" s="3" t="s">
        <v>14</v>
      </c>
      <c r="E52" s="4">
        <v>45677</v>
      </c>
      <c r="F52" s="15">
        <v>48</v>
      </c>
      <c r="G52" s="4">
        <v>45679</v>
      </c>
      <c r="H52" s="14" t="s">
        <v>30</v>
      </c>
      <c r="I52" t="s">
        <v>62</v>
      </c>
    </row>
    <row r="53" spans="1:9" x14ac:dyDescent="0.2">
      <c r="A53" s="5">
        <v>152</v>
      </c>
      <c r="B53" s="19" t="s">
        <v>4</v>
      </c>
      <c r="C53" s="13" t="s">
        <v>24</v>
      </c>
      <c r="D53" s="5" t="s">
        <v>12</v>
      </c>
      <c r="E53" s="6">
        <v>45659</v>
      </c>
      <c r="F53" s="16">
        <v>72</v>
      </c>
      <c r="G53" s="11">
        <v>45665</v>
      </c>
      <c r="H53" s="7" t="s">
        <v>29</v>
      </c>
      <c r="I53" t="s">
        <v>62</v>
      </c>
    </row>
    <row r="54" spans="1:9" ht="27.75" x14ac:dyDescent="0.2">
      <c r="A54" s="3">
        <v>153</v>
      </c>
      <c r="B54" s="18" t="s">
        <v>23</v>
      </c>
      <c r="C54" s="12" t="s">
        <v>25</v>
      </c>
      <c r="D54" s="3" t="s">
        <v>12</v>
      </c>
      <c r="E54" s="4">
        <v>45666</v>
      </c>
      <c r="F54" s="15">
        <v>24</v>
      </c>
      <c r="G54" s="4">
        <v>45667</v>
      </c>
      <c r="H54" s="14" t="s">
        <v>30</v>
      </c>
      <c r="I54" t="s">
        <v>62</v>
      </c>
    </row>
    <row r="55" spans="1:9" x14ac:dyDescent="0.2">
      <c r="A55" s="5">
        <v>154</v>
      </c>
      <c r="B55" s="19" t="s">
        <v>23</v>
      </c>
      <c r="C55" s="13" t="s">
        <v>24</v>
      </c>
      <c r="D55" s="5" t="s">
        <v>12</v>
      </c>
      <c r="E55" s="6">
        <v>45672</v>
      </c>
      <c r="F55" s="16">
        <v>48</v>
      </c>
      <c r="G55" s="11">
        <v>45679</v>
      </c>
      <c r="H55" s="7" t="s">
        <v>29</v>
      </c>
      <c r="I55" t="s">
        <v>62</v>
      </c>
    </row>
    <row r="56" spans="1:9" x14ac:dyDescent="0.2">
      <c r="A56" s="3">
        <v>155</v>
      </c>
      <c r="B56" s="18" t="s">
        <v>22</v>
      </c>
      <c r="C56" s="12" t="s">
        <v>24</v>
      </c>
      <c r="D56" s="3" t="s">
        <v>12</v>
      </c>
      <c r="E56" s="4">
        <v>45677</v>
      </c>
      <c r="F56" s="15">
        <v>24</v>
      </c>
      <c r="G56" s="4">
        <v>45681</v>
      </c>
      <c r="H56" s="14" t="s">
        <v>29</v>
      </c>
      <c r="I56" t="s">
        <v>62</v>
      </c>
    </row>
    <row r="57" spans="1:9" ht="27.75" x14ac:dyDescent="0.2">
      <c r="A57" s="5">
        <v>156</v>
      </c>
      <c r="B57" s="19" t="s">
        <v>2</v>
      </c>
      <c r="C57" s="13" t="s">
        <v>26</v>
      </c>
      <c r="D57" s="5" t="s">
        <v>12</v>
      </c>
      <c r="E57" s="6">
        <v>45665</v>
      </c>
      <c r="F57" s="16">
        <v>24</v>
      </c>
      <c r="G57" s="11">
        <v>45667</v>
      </c>
      <c r="H57" s="7" t="s">
        <v>29</v>
      </c>
      <c r="I57" t="s">
        <v>62</v>
      </c>
    </row>
    <row r="58" spans="1:9" x14ac:dyDescent="0.2">
      <c r="A58" s="3">
        <v>157</v>
      </c>
      <c r="B58" s="18" t="s">
        <v>22</v>
      </c>
      <c r="C58" s="12" t="s">
        <v>28</v>
      </c>
      <c r="D58" s="3" t="s">
        <v>13</v>
      </c>
      <c r="E58" s="4">
        <v>45674</v>
      </c>
      <c r="F58" s="15">
        <v>48</v>
      </c>
      <c r="G58" s="4">
        <v>45681</v>
      </c>
      <c r="H58" s="14" t="s">
        <v>29</v>
      </c>
      <c r="I58" t="s">
        <v>62</v>
      </c>
    </row>
    <row r="59" spans="1:9" ht="27.75" x14ac:dyDescent="0.2">
      <c r="A59" s="5">
        <v>158</v>
      </c>
      <c r="B59" s="19" t="s">
        <v>23</v>
      </c>
      <c r="C59" s="13" t="s">
        <v>25</v>
      </c>
      <c r="D59" s="5" t="s">
        <v>14</v>
      </c>
      <c r="E59" s="6">
        <v>45683</v>
      </c>
      <c r="F59" s="16">
        <v>48</v>
      </c>
      <c r="G59" s="11">
        <v>45689</v>
      </c>
      <c r="H59" s="7" t="s">
        <v>29</v>
      </c>
      <c r="I59" t="s">
        <v>63</v>
      </c>
    </row>
    <row r="60" spans="1:9" x14ac:dyDescent="0.2">
      <c r="A60" s="3">
        <v>159</v>
      </c>
      <c r="B60" s="18" t="s">
        <v>22</v>
      </c>
      <c r="C60" s="12" t="s">
        <v>27</v>
      </c>
      <c r="D60" s="3" t="s">
        <v>14</v>
      </c>
      <c r="E60" s="4">
        <v>45673</v>
      </c>
      <c r="F60" s="15">
        <v>72</v>
      </c>
      <c r="G60" s="4">
        <v>45679</v>
      </c>
      <c r="H60" s="14" t="s">
        <v>29</v>
      </c>
      <c r="I60" t="s">
        <v>62</v>
      </c>
    </row>
    <row r="61" spans="1:9" ht="27.75" x14ac:dyDescent="0.2">
      <c r="A61" s="5">
        <v>160</v>
      </c>
      <c r="B61" s="19" t="s">
        <v>4</v>
      </c>
      <c r="C61" s="13" t="s">
        <v>26</v>
      </c>
      <c r="D61" s="5" t="s">
        <v>12</v>
      </c>
      <c r="E61" s="6">
        <v>45674</v>
      </c>
      <c r="F61" s="16">
        <v>72</v>
      </c>
      <c r="G61" s="11">
        <v>45675</v>
      </c>
      <c r="H61" s="7" t="s">
        <v>30</v>
      </c>
      <c r="I61" t="s">
        <v>62</v>
      </c>
    </row>
    <row r="62" spans="1:9" ht="27.75" x14ac:dyDescent="0.2">
      <c r="A62" s="3">
        <v>161</v>
      </c>
      <c r="B62" s="18" t="s">
        <v>4</v>
      </c>
      <c r="C62" s="12" t="s">
        <v>26</v>
      </c>
      <c r="D62" s="3" t="s">
        <v>14</v>
      </c>
      <c r="E62" s="4">
        <v>45667</v>
      </c>
      <c r="F62" s="15">
        <v>48</v>
      </c>
      <c r="G62" s="4">
        <v>45671</v>
      </c>
      <c r="H62" s="14" t="s">
        <v>29</v>
      </c>
      <c r="I62" t="s">
        <v>62</v>
      </c>
    </row>
    <row r="63" spans="1:9" x14ac:dyDescent="0.2">
      <c r="A63" s="5">
        <v>162</v>
      </c>
      <c r="B63" s="19" t="s">
        <v>22</v>
      </c>
      <c r="C63" s="13" t="s">
        <v>24</v>
      </c>
      <c r="D63" s="5" t="s">
        <v>12</v>
      </c>
      <c r="E63" s="6">
        <v>45679</v>
      </c>
      <c r="F63" s="16">
        <v>72</v>
      </c>
      <c r="G63" s="11">
        <v>45682</v>
      </c>
      <c r="H63" s="7" t="s">
        <v>30</v>
      </c>
      <c r="I63" t="s">
        <v>62</v>
      </c>
    </row>
    <row r="64" spans="1:9" ht="27.75" x14ac:dyDescent="0.2">
      <c r="A64" s="3">
        <v>163</v>
      </c>
      <c r="B64" s="18" t="s">
        <v>22</v>
      </c>
      <c r="C64" s="12" t="s">
        <v>25</v>
      </c>
      <c r="D64" s="3" t="s">
        <v>13</v>
      </c>
      <c r="E64" s="4">
        <v>45677</v>
      </c>
      <c r="F64" s="15">
        <v>48</v>
      </c>
      <c r="G64" s="4">
        <v>45679</v>
      </c>
      <c r="H64" s="14" t="s">
        <v>30</v>
      </c>
      <c r="I64" t="s">
        <v>62</v>
      </c>
    </row>
    <row r="65" spans="1:9" x14ac:dyDescent="0.2">
      <c r="A65" s="5">
        <v>164</v>
      </c>
      <c r="B65" s="19" t="s">
        <v>4</v>
      </c>
      <c r="C65" s="13" t="s">
        <v>24</v>
      </c>
      <c r="D65" s="5" t="s">
        <v>14</v>
      </c>
      <c r="E65" s="6">
        <v>45668</v>
      </c>
      <c r="F65" s="16">
        <v>72</v>
      </c>
      <c r="G65" s="11">
        <v>45674</v>
      </c>
      <c r="H65" s="7" t="s">
        <v>29</v>
      </c>
      <c r="I65" t="s">
        <v>62</v>
      </c>
    </row>
    <row r="66" spans="1:9" ht="27.75" x14ac:dyDescent="0.2">
      <c r="A66" s="3">
        <v>165</v>
      </c>
      <c r="B66" s="18" t="s">
        <v>4</v>
      </c>
      <c r="C66" s="12" t="s">
        <v>26</v>
      </c>
      <c r="D66" s="3" t="s">
        <v>14</v>
      </c>
      <c r="E66" s="4">
        <v>45684</v>
      </c>
      <c r="F66" s="15">
        <v>72</v>
      </c>
      <c r="G66" s="4">
        <v>45688</v>
      </c>
      <c r="H66" s="14" t="s">
        <v>29</v>
      </c>
      <c r="I66" t="s">
        <v>62</v>
      </c>
    </row>
    <row r="67" spans="1:9" x14ac:dyDescent="0.2">
      <c r="A67" s="5">
        <v>166</v>
      </c>
      <c r="B67" s="19" t="s">
        <v>20</v>
      </c>
      <c r="C67" s="13" t="s">
        <v>28</v>
      </c>
      <c r="D67" s="5" t="s">
        <v>12</v>
      </c>
      <c r="E67" s="6">
        <v>45672</v>
      </c>
      <c r="F67" s="16">
        <v>72</v>
      </c>
      <c r="G67" s="11">
        <v>45678</v>
      </c>
      <c r="H67" s="7" t="s">
        <v>29</v>
      </c>
      <c r="I67" t="s">
        <v>62</v>
      </c>
    </row>
    <row r="68" spans="1:9" x14ac:dyDescent="0.2">
      <c r="A68" s="3">
        <v>167</v>
      </c>
      <c r="B68" s="18" t="s">
        <v>3</v>
      </c>
      <c r="C68" s="12" t="s">
        <v>24</v>
      </c>
      <c r="D68" s="3" t="s">
        <v>13</v>
      </c>
      <c r="E68" s="4">
        <v>45660</v>
      </c>
      <c r="F68" s="15">
        <v>24</v>
      </c>
      <c r="G68" s="4">
        <v>45664</v>
      </c>
      <c r="H68" s="14" t="s">
        <v>29</v>
      </c>
      <c r="I68" t="s">
        <v>62</v>
      </c>
    </row>
    <row r="69" spans="1:9" ht="27.75" x14ac:dyDescent="0.2">
      <c r="A69" s="5">
        <v>168</v>
      </c>
      <c r="B69" s="19" t="s">
        <v>23</v>
      </c>
      <c r="C69" s="13" t="s">
        <v>26</v>
      </c>
      <c r="D69" s="5" t="s">
        <v>14</v>
      </c>
      <c r="E69" s="6">
        <v>45677</v>
      </c>
      <c r="F69" s="16">
        <v>24</v>
      </c>
      <c r="G69" s="11">
        <v>45682</v>
      </c>
      <c r="H69" s="7" t="s">
        <v>29</v>
      </c>
      <c r="I69" t="s">
        <v>62</v>
      </c>
    </row>
    <row r="70" spans="1:9" ht="27.75" x14ac:dyDescent="0.2">
      <c r="A70" s="3">
        <v>169</v>
      </c>
      <c r="B70" s="18" t="s">
        <v>1</v>
      </c>
      <c r="C70" s="12" t="s">
        <v>25</v>
      </c>
      <c r="D70" s="3" t="s">
        <v>13</v>
      </c>
      <c r="E70" s="4">
        <v>45664</v>
      </c>
      <c r="F70" s="15">
        <v>72</v>
      </c>
      <c r="G70" s="4">
        <v>45669</v>
      </c>
      <c r="H70" s="14" t="s">
        <v>29</v>
      </c>
      <c r="I70" t="s">
        <v>62</v>
      </c>
    </row>
    <row r="71" spans="1:9" ht="27.75" x14ac:dyDescent="0.2">
      <c r="A71" s="5">
        <v>170</v>
      </c>
      <c r="B71" s="19" t="s">
        <v>23</v>
      </c>
      <c r="C71" s="13" t="s">
        <v>26</v>
      </c>
      <c r="D71" s="5" t="s">
        <v>12</v>
      </c>
      <c r="E71" s="6">
        <v>45663</v>
      </c>
      <c r="F71" s="16">
        <v>24</v>
      </c>
      <c r="G71" s="11">
        <v>45665</v>
      </c>
      <c r="H71" s="7" t="s">
        <v>29</v>
      </c>
      <c r="I71" t="s">
        <v>62</v>
      </c>
    </row>
    <row r="72" spans="1:9" x14ac:dyDescent="0.2">
      <c r="A72" s="3">
        <v>171</v>
      </c>
      <c r="B72" s="18" t="s">
        <v>4</v>
      </c>
      <c r="C72" s="12" t="s">
        <v>24</v>
      </c>
      <c r="D72" s="3" t="s">
        <v>13</v>
      </c>
      <c r="E72" s="4">
        <v>45682</v>
      </c>
      <c r="F72" s="15">
        <v>24</v>
      </c>
      <c r="G72" s="4">
        <v>45686</v>
      </c>
      <c r="H72" s="14" t="s">
        <v>29</v>
      </c>
      <c r="I72" t="s">
        <v>62</v>
      </c>
    </row>
    <row r="73" spans="1:9" x14ac:dyDescent="0.2">
      <c r="A73" s="5">
        <v>172</v>
      </c>
      <c r="B73" s="19" t="s">
        <v>23</v>
      </c>
      <c r="C73" s="13" t="s">
        <v>24</v>
      </c>
      <c r="D73" s="5" t="s">
        <v>13</v>
      </c>
      <c r="E73" s="6">
        <v>45677</v>
      </c>
      <c r="F73" s="16">
        <v>72</v>
      </c>
      <c r="G73" s="11">
        <v>45681</v>
      </c>
      <c r="H73" s="7" t="s">
        <v>29</v>
      </c>
      <c r="I73" t="s">
        <v>62</v>
      </c>
    </row>
    <row r="74" spans="1:9" ht="27.75" x14ac:dyDescent="0.2">
      <c r="A74" s="3">
        <v>173</v>
      </c>
      <c r="B74" s="18" t="s">
        <v>21</v>
      </c>
      <c r="C74" s="12" t="s">
        <v>25</v>
      </c>
      <c r="D74" s="3" t="s">
        <v>12</v>
      </c>
      <c r="E74" s="4">
        <v>45685</v>
      </c>
      <c r="F74" s="15">
        <v>24</v>
      </c>
      <c r="G74" s="4">
        <v>45692</v>
      </c>
      <c r="H74" s="14" t="s">
        <v>29</v>
      </c>
      <c r="I74" t="s">
        <v>62</v>
      </c>
    </row>
    <row r="75" spans="1:9" ht="27.75" x14ac:dyDescent="0.2">
      <c r="A75" s="5">
        <v>174</v>
      </c>
      <c r="B75" s="19" t="s">
        <v>4</v>
      </c>
      <c r="C75" s="13" t="s">
        <v>26</v>
      </c>
      <c r="D75" s="5" t="s">
        <v>13</v>
      </c>
      <c r="E75" s="6">
        <v>45663</v>
      </c>
      <c r="F75" s="16">
        <v>24</v>
      </c>
      <c r="G75" s="11">
        <v>45664</v>
      </c>
      <c r="H75" s="7" t="s">
        <v>30</v>
      </c>
      <c r="I75" t="s">
        <v>62</v>
      </c>
    </row>
    <row r="76" spans="1:9" x14ac:dyDescent="0.2">
      <c r="A76" s="3">
        <v>175</v>
      </c>
      <c r="B76" s="18" t="s">
        <v>4</v>
      </c>
      <c r="C76" s="12" t="s">
        <v>28</v>
      </c>
      <c r="D76" s="3" t="s">
        <v>14</v>
      </c>
      <c r="E76" s="4">
        <v>45674</v>
      </c>
      <c r="F76" s="15">
        <v>48</v>
      </c>
      <c r="G76" s="4">
        <v>45676</v>
      </c>
      <c r="H76" s="14" t="s">
        <v>30</v>
      </c>
      <c r="I76" t="s">
        <v>62</v>
      </c>
    </row>
    <row r="77" spans="1:9" ht="27.75" x14ac:dyDescent="0.2">
      <c r="A77" s="5">
        <v>176</v>
      </c>
      <c r="B77" s="19" t="s">
        <v>2</v>
      </c>
      <c r="C77" s="13" t="s">
        <v>25</v>
      </c>
      <c r="D77" s="5" t="s">
        <v>13</v>
      </c>
      <c r="E77" s="6">
        <v>45668</v>
      </c>
      <c r="F77" s="16">
        <v>48</v>
      </c>
      <c r="G77" s="11">
        <v>45673</v>
      </c>
      <c r="H77" s="7" t="s">
        <v>29</v>
      </c>
      <c r="I77" t="s">
        <v>62</v>
      </c>
    </row>
    <row r="78" spans="1:9" x14ac:dyDescent="0.2">
      <c r="A78" s="3">
        <v>177</v>
      </c>
      <c r="B78" s="18" t="s">
        <v>21</v>
      </c>
      <c r="C78" s="12" t="s">
        <v>24</v>
      </c>
      <c r="D78" s="3" t="s">
        <v>13</v>
      </c>
      <c r="E78" s="4">
        <v>45677</v>
      </c>
      <c r="F78" s="15">
        <v>48</v>
      </c>
      <c r="G78" s="4">
        <v>45679</v>
      </c>
      <c r="H78" s="14" t="s">
        <v>30</v>
      </c>
      <c r="I78" t="s">
        <v>62</v>
      </c>
    </row>
    <row r="79" spans="1:9" ht="27.75" x14ac:dyDescent="0.2">
      <c r="A79" s="5">
        <v>178</v>
      </c>
      <c r="B79" s="19" t="s">
        <v>4</v>
      </c>
      <c r="C79" s="13" t="s">
        <v>25</v>
      </c>
      <c r="D79" s="5" t="s">
        <v>14</v>
      </c>
      <c r="E79" s="6">
        <v>45673</v>
      </c>
      <c r="F79" s="16">
        <v>24</v>
      </c>
      <c r="G79" s="11">
        <v>45675</v>
      </c>
      <c r="H79" s="7" t="s">
        <v>29</v>
      </c>
      <c r="I79" t="s">
        <v>62</v>
      </c>
    </row>
    <row r="80" spans="1:9" x14ac:dyDescent="0.2">
      <c r="A80" s="3">
        <v>179</v>
      </c>
      <c r="B80" s="18" t="s">
        <v>1</v>
      </c>
      <c r="C80" s="12" t="s">
        <v>24</v>
      </c>
      <c r="D80" s="3" t="s">
        <v>12</v>
      </c>
      <c r="E80" s="4">
        <v>45674</v>
      </c>
      <c r="F80" s="15">
        <v>24</v>
      </c>
      <c r="G80" s="4">
        <v>45679</v>
      </c>
      <c r="H80" s="14" t="s">
        <v>29</v>
      </c>
      <c r="I80" t="s">
        <v>62</v>
      </c>
    </row>
    <row r="81" spans="1:9" x14ac:dyDescent="0.2">
      <c r="A81" s="5">
        <v>180</v>
      </c>
      <c r="B81" s="19" t="s">
        <v>2</v>
      </c>
      <c r="C81" s="13" t="s">
        <v>28</v>
      </c>
      <c r="D81" s="5" t="s">
        <v>13</v>
      </c>
      <c r="E81" s="6">
        <v>45665</v>
      </c>
      <c r="F81" s="16">
        <v>72</v>
      </c>
      <c r="G81" s="11">
        <v>45666</v>
      </c>
      <c r="H81" s="7" t="s">
        <v>30</v>
      </c>
      <c r="I81" t="s">
        <v>62</v>
      </c>
    </row>
    <row r="82" spans="1:9" x14ac:dyDescent="0.2">
      <c r="A82" s="3">
        <v>181</v>
      </c>
      <c r="B82" s="18" t="s">
        <v>21</v>
      </c>
      <c r="C82" s="12" t="s">
        <v>28</v>
      </c>
      <c r="D82" s="3" t="s">
        <v>13</v>
      </c>
      <c r="E82" s="4">
        <v>45684</v>
      </c>
      <c r="F82" s="15">
        <v>48</v>
      </c>
      <c r="G82" s="4">
        <v>45690</v>
      </c>
      <c r="H82" s="14" t="s">
        <v>29</v>
      </c>
      <c r="I82" t="s">
        <v>62</v>
      </c>
    </row>
    <row r="83" spans="1:9" ht="27.75" x14ac:dyDescent="0.2">
      <c r="A83" s="5">
        <v>182</v>
      </c>
      <c r="B83" s="19" t="s">
        <v>20</v>
      </c>
      <c r="C83" s="13" t="s">
        <v>26</v>
      </c>
      <c r="D83" s="5" t="s">
        <v>13</v>
      </c>
      <c r="E83" s="6">
        <v>45660</v>
      </c>
      <c r="F83" s="16">
        <v>72</v>
      </c>
      <c r="G83" s="11">
        <v>45663</v>
      </c>
      <c r="H83" s="7" t="s">
        <v>30</v>
      </c>
      <c r="I83" t="s">
        <v>63</v>
      </c>
    </row>
    <row r="84" spans="1:9" x14ac:dyDescent="0.2">
      <c r="A84" s="3">
        <v>183</v>
      </c>
      <c r="B84" s="18" t="s">
        <v>22</v>
      </c>
      <c r="C84" s="12" t="s">
        <v>27</v>
      </c>
      <c r="D84" s="3" t="s">
        <v>13</v>
      </c>
      <c r="E84" s="4">
        <v>45668</v>
      </c>
      <c r="F84" s="15">
        <v>24</v>
      </c>
      <c r="G84" s="4">
        <v>45675</v>
      </c>
      <c r="H84" s="14" t="s">
        <v>29</v>
      </c>
      <c r="I84" t="s">
        <v>62</v>
      </c>
    </row>
    <row r="85" spans="1:9" x14ac:dyDescent="0.2">
      <c r="A85" s="5">
        <v>184</v>
      </c>
      <c r="B85" s="19" t="s">
        <v>21</v>
      </c>
      <c r="C85" s="13" t="s">
        <v>28</v>
      </c>
      <c r="D85" s="5" t="s">
        <v>12</v>
      </c>
      <c r="E85" s="6">
        <v>45660</v>
      </c>
      <c r="F85" s="16">
        <v>24</v>
      </c>
      <c r="G85" s="11">
        <v>45662</v>
      </c>
      <c r="H85" s="7" t="s">
        <v>29</v>
      </c>
      <c r="I85" t="s">
        <v>62</v>
      </c>
    </row>
    <row r="86" spans="1:9" ht="27.75" x14ac:dyDescent="0.2">
      <c r="A86" s="3">
        <v>185</v>
      </c>
      <c r="B86" s="18" t="s">
        <v>4</v>
      </c>
      <c r="C86" s="12" t="s">
        <v>26</v>
      </c>
      <c r="D86" s="3" t="s">
        <v>13</v>
      </c>
      <c r="E86" s="4">
        <v>45667</v>
      </c>
      <c r="F86" s="15">
        <v>24</v>
      </c>
      <c r="G86" s="4">
        <v>45668</v>
      </c>
      <c r="H86" s="14" t="s">
        <v>30</v>
      </c>
      <c r="I86" t="s">
        <v>62</v>
      </c>
    </row>
    <row r="87" spans="1:9" x14ac:dyDescent="0.2">
      <c r="A87" s="5">
        <v>186</v>
      </c>
      <c r="B87" s="19" t="s">
        <v>2</v>
      </c>
      <c r="C87" s="13" t="s">
        <v>27</v>
      </c>
      <c r="D87" s="5" t="s">
        <v>12</v>
      </c>
      <c r="E87" s="6">
        <v>45667</v>
      </c>
      <c r="F87" s="16">
        <v>48</v>
      </c>
      <c r="G87" s="11">
        <v>45668</v>
      </c>
      <c r="H87" s="7" t="s">
        <v>30</v>
      </c>
      <c r="I87" t="s">
        <v>62</v>
      </c>
    </row>
    <row r="88" spans="1:9" x14ac:dyDescent="0.2">
      <c r="A88" s="3">
        <v>187</v>
      </c>
      <c r="B88" s="18" t="s">
        <v>3</v>
      </c>
      <c r="C88" s="12" t="s">
        <v>28</v>
      </c>
      <c r="D88" s="3" t="s">
        <v>14</v>
      </c>
      <c r="E88" s="4">
        <v>45682</v>
      </c>
      <c r="F88" s="15">
        <v>72</v>
      </c>
      <c r="G88" s="4">
        <v>45689</v>
      </c>
      <c r="H88" s="14" t="s">
        <v>29</v>
      </c>
      <c r="I88" t="s">
        <v>62</v>
      </c>
    </row>
    <row r="89" spans="1:9" ht="27.75" x14ac:dyDescent="0.2">
      <c r="A89" s="5">
        <v>188</v>
      </c>
      <c r="B89" s="19" t="s">
        <v>4</v>
      </c>
      <c r="C89" s="13" t="s">
        <v>25</v>
      </c>
      <c r="D89" s="5" t="s">
        <v>12</v>
      </c>
      <c r="E89" s="6">
        <v>45668</v>
      </c>
      <c r="F89" s="16">
        <v>24</v>
      </c>
      <c r="G89" s="11">
        <v>45669</v>
      </c>
      <c r="H89" s="7" t="s">
        <v>30</v>
      </c>
      <c r="I89" t="s">
        <v>62</v>
      </c>
    </row>
    <row r="90" spans="1:9" x14ac:dyDescent="0.2">
      <c r="A90" s="3">
        <v>189</v>
      </c>
      <c r="B90" s="18" t="s">
        <v>1</v>
      </c>
      <c r="C90" s="12" t="s">
        <v>28</v>
      </c>
      <c r="D90" s="3" t="s">
        <v>14</v>
      </c>
      <c r="E90" s="4">
        <v>45659</v>
      </c>
      <c r="F90" s="15">
        <v>72</v>
      </c>
      <c r="G90" s="4">
        <v>45664</v>
      </c>
      <c r="H90" s="14" t="s">
        <v>29</v>
      </c>
      <c r="I90" t="s">
        <v>62</v>
      </c>
    </row>
    <row r="91" spans="1:9" x14ac:dyDescent="0.2">
      <c r="A91" s="5">
        <v>190</v>
      </c>
      <c r="B91" s="19" t="s">
        <v>20</v>
      </c>
      <c r="C91" s="13" t="s">
        <v>28</v>
      </c>
      <c r="D91" s="5" t="s">
        <v>14</v>
      </c>
      <c r="E91" s="6">
        <v>45680</v>
      </c>
      <c r="F91" s="16">
        <v>72</v>
      </c>
      <c r="G91" s="11">
        <v>45682</v>
      </c>
      <c r="H91" s="7" t="s">
        <v>30</v>
      </c>
      <c r="I91" t="s">
        <v>62</v>
      </c>
    </row>
    <row r="92" spans="1:9" x14ac:dyDescent="0.2">
      <c r="A92" s="3">
        <v>191</v>
      </c>
      <c r="B92" s="18" t="s">
        <v>20</v>
      </c>
      <c r="C92" s="12" t="s">
        <v>27</v>
      </c>
      <c r="D92" s="3" t="s">
        <v>14</v>
      </c>
      <c r="E92" s="4">
        <v>45674</v>
      </c>
      <c r="F92" s="15">
        <v>72</v>
      </c>
      <c r="G92" s="4">
        <v>45679</v>
      </c>
      <c r="H92" s="14" t="s">
        <v>29</v>
      </c>
      <c r="I92" t="s">
        <v>62</v>
      </c>
    </row>
    <row r="93" spans="1:9" ht="27.75" x14ac:dyDescent="0.2">
      <c r="A93" s="5">
        <v>192</v>
      </c>
      <c r="B93" s="19" t="s">
        <v>2</v>
      </c>
      <c r="C93" s="13" t="s">
        <v>25</v>
      </c>
      <c r="D93" s="5" t="s">
        <v>13</v>
      </c>
      <c r="E93" s="6">
        <v>45660</v>
      </c>
      <c r="F93" s="16">
        <v>24</v>
      </c>
      <c r="G93" s="11">
        <v>45666</v>
      </c>
      <c r="H93" s="7" t="s">
        <v>29</v>
      </c>
      <c r="I93" t="s">
        <v>62</v>
      </c>
    </row>
    <row r="94" spans="1:9" x14ac:dyDescent="0.2">
      <c r="A94" s="3">
        <v>193</v>
      </c>
      <c r="B94" s="18" t="s">
        <v>4</v>
      </c>
      <c r="C94" s="12" t="s">
        <v>27</v>
      </c>
      <c r="D94" s="3" t="s">
        <v>14</v>
      </c>
      <c r="E94" s="4">
        <v>45669</v>
      </c>
      <c r="F94" s="15">
        <v>48</v>
      </c>
      <c r="G94" s="4">
        <v>45671</v>
      </c>
      <c r="H94" s="14" t="s">
        <v>30</v>
      </c>
      <c r="I94" t="s">
        <v>62</v>
      </c>
    </row>
    <row r="95" spans="1:9" x14ac:dyDescent="0.2">
      <c r="A95" s="5">
        <v>194</v>
      </c>
      <c r="B95" s="19" t="s">
        <v>3</v>
      </c>
      <c r="C95" s="13" t="s">
        <v>27</v>
      </c>
      <c r="D95" s="5" t="s">
        <v>13</v>
      </c>
      <c r="E95" s="6">
        <v>45664</v>
      </c>
      <c r="F95" s="16">
        <v>72</v>
      </c>
      <c r="G95" s="11">
        <v>45665</v>
      </c>
      <c r="H95" s="7" t="s">
        <v>30</v>
      </c>
      <c r="I95" t="s">
        <v>62</v>
      </c>
    </row>
    <row r="96" spans="1:9" x14ac:dyDescent="0.2">
      <c r="A96" s="3">
        <v>195</v>
      </c>
      <c r="B96" s="18" t="s">
        <v>21</v>
      </c>
      <c r="C96" s="12" t="s">
        <v>24</v>
      </c>
      <c r="D96" s="3" t="s">
        <v>12</v>
      </c>
      <c r="E96" s="4">
        <v>45682</v>
      </c>
      <c r="F96" s="15">
        <v>72</v>
      </c>
      <c r="G96" s="4">
        <v>45688</v>
      </c>
      <c r="H96" s="14" t="s">
        <v>29</v>
      </c>
      <c r="I96" t="s">
        <v>62</v>
      </c>
    </row>
    <row r="97" spans="1:9" ht="27.75" x14ac:dyDescent="0.2">
      <c r="A97" s="5">
        <v>196</v>
      </c>
      <c r="B97" s="19" t="s">
        <v>3</v>
      </c>
      <c r="C97" s="13" t="s">
        <v>25</v>
      </c>
      <c r="D97" s="5" t="s">
        <v>13</v>
      </c>
      <c r="E97" s="6">
        <v>45662</v>
      </c>
      <c r="F97" s="16">
        <v>24</v>
      </c>
      <c r="G97" s="11">
        <v>45663</v>
      </c>
      <c r="H97" s="7" t="s">
        <v>30</v>
      </c>
      <c r="I97" t="s">
        <v>62</v>
      </c>
    </row>
    <row r="98" spans="1:9" ht="27.75" x14ac:dyDescent="0.2">
      <c r="A98" s="3">
        <v>197</v>
      </c>
      <c r="B98" s="18" t="s">
        <v>3</v>
      </c>
      <c r="C98" s="12" t="s">
        <v>25</v>
      </c>
      <c r="D98" s="3" t="s">
        <v>12</v>
      </c>
      <c r="E98" s="4">
        <v>45666</v>
      </c>
      <c r="F98" s="15">
        <v>48</v>
      </c>
      <c r="G98" s="4">
        <v>45669</v>
      </c>
      <c r="H98" s="14" t="s">
        <v>29</v>
      </c>
      <c r="I98" t="s">
        <v>62</v>
      </c>
    </row>
    <row r="99" spans="1:9" ht="27.75" x14ac:dyDescent="0.2">
      <c r="A99" s="5">
        <v>198</v>
      </c>
      <c r="B99" s="19" t="s">
        <v>2</v>
      </c>
      <c r="C99" s="13" t="s">
        <v>25</v>
      </c>
      <c r="D99" s="5" t="s">
        <v>14</v>
      </c>
      <c r="E99" s="6">
        <v>45685</v>
      </c>
      <c r="F99" s="16">
        <v>72</v>
      </c>
      <c r="G99" s="11">
        <v>45689</v>
      </c>
      <c r="H99" s="7" t="s">
        <v>29</v>
      </c>
      <c r="I99" t="s">
        <v>62</v>
      </c>
    </row>
    <row r="100" spans="1:9" x14ac:dyDescent="0.2">
      <c r="A100" s="3">
        <v>199</v>
      </c>
      <c r="B100" s="18" t="s">
        <v>3</v>
      </c>
      <c r="C100" s="12" t="s">
        <v>28</v>
      </c>
      <c r="D100" s="3" t="s">
        <v>14</v>
      </c>
      <c r="E100" s="4">
        <v>45676</v>
      </c>
      <c r="F100" s="15">
        <v>72</v>
      </c>
      <c r="G100" s="4">
        <v>45679</v>
      </c>
      <c r="H100" s="14" t="s">
        <v>30</v>
      </c>
      <c r="I100" t="s">
        <v>62</v>
      </c>
    </row>
    <row r="101" spans="1:9" ht="27.75" x14ac:dyDescent="0.2">
      <c r="A101" s="5">
        <v>200</v>
      </c>
      <c r="B101" s="19" t="s">
        <v>3</v>
      </c>
      <c r="C101" s="13" t="s">
        <v>25</v>
      </c>
      <c r="D101" s="5" t="s">
        <v>13</v>
      </c>
      <c r="E101" s="6">
        <v>45675</v>
      </c>
      <c r="F101" s="16">
        <v>72</v>
      </c>
      <c r="G101" s="11">
        <v>45682</v>
      </c>
      <c r="H101" s="7" t="s">
        <v>29</v>
      </c>
      <c r="I101" t="s">
        <v>62</v>
      </c>
    </row>
    <row r="102" spans="1:9" ht="27.75" x14ac:dyDescent="0.2">
      <c r="A102" s="3">
        <v>201</v>
      </c>
      <c r="B102" s="18" t="s">
        <v>2</v>
      </c>
      <c r="C102" s="12" t="s">
        <v>26</v>
      </c>
      <c r="D102" s="3" t="s">
        <v>12</v>
      </c>
      <c r="E102" s="4">
        <v>45666</v>
      </c>
      <c r="F102" s="15">
        <v>24</v>
      </c>
      <c r="G102" s="4">
        <v>45666</v>
      </c>
      <c r="H102" s="14" t="s">
        <v>30</v>
      </c>
      <c r="I102" t="s">
        <v>62</v>
      </c>
    </row>
    <row r="103" spans="1:9" ht="27.75" x14ac:dyDescent="0.2">
      <c r="A103" s="5">
        <v>202</v>
      </c>
      <c r="B103" s="19" t="s">
        <v>23</v>
      </c>
      <c r="C103" s="13" t="s">
        <v>25</v>
      </c>
      <c r="D103" s="5" t="s">
        <v>12</v>
      </c>
      <c r="E103" s="6">
        <v>45686</v>
      </c>
      <c r="F103" s="16">
        <v>48</v>
      </c>
      <c r="G103" s="11">
        <v>45691</v>
      </c>
      <c r="H103" s="7" t="s">
        <v>29</v>
      </c>
      <c r="I103" t="s">
        <v>62</v>
      </c>
    </row>
    <row r="104" spans="1:9" ht="27.75" x14ac:dyDescent="0.2">
      <c r="A104" s="3">
        <v>203</v>
      </c>
      <c r="B104" s="18" t="s">
        <v>1</v>
      </c>
      <c r="C104" s="12" t="s">
        <v>26</v>
      </c>
      <c r="D104" s="3" t="s">
        <v>12</v>
      </c>
      <c r="E104" s="4">
        <v>45661</v>
      </c>
      <c r="F104" s="15">
        <v>72</v>
      </c>
      <c r="G104" s="4">
        <v>45665</v>
      </c>
      <c r="H104" s="14" t="s">
        <v>29</v>
      </c>
      <c r="I104" t="s">
        <v>62</v>
      </c>
    </row>
    <row r="105" spans="1:9" ht="27.75" x14ac:dyDescent="0.2">
      <c r="A105" s="5">
        <v>204</v>
      </c>
      <c r="B105" s="19" t="s">
        <v>4</v>
      </c>
      <c r="C105" s="13" t="s">
        <v>25</v>
      </c>
      <c r="D105" s="5" t="s">
        <v>13</v>
      </c>
      <c r="E105" s="6">
        <v>45665</v>
      </c>
      <c r="F105" s="16">
        <v>24</v>
      </c>
      <c r="G105" s="11">
        <v>45665</v>
      </c>
      <c r="H105" s="7" t="s">
        <v>30</v>
      </c>
      <c r="I105" t="s">
        <v>62</v>
      </c>
    </row>
    <row r="106" spans="1:9" x14ac:dyDescent="0.2">
      <c r="A106" s="3">
        <v>205</v>
      </c>
      <c r="B106" s="18" t="s">
        <v>2</v>
      </c>
      <c r="C106" s="12" t="s">
        <v>27</v>
      </c>
      <c r="D106" s="3" t="s">
        <v>12</v>
      </c>
      <c r="E106" s="4">
        <v>45673</v>
      </c>
      <c r="F106" s="15">
        <v>48</v>
      </c>
      <c r="G106" s="4">
        <v>45680</v>
      </c>
      <c r="H106" s="14" t="s">
        <v>29</v>
      </c>
      <c r="I106" t="s">
        <v>63</v>
      </c>
    </row>
    <row r="107" spans="1:9" ht="27.75" x14ac:dyDescent="0.2">
      <c r="A107" s="5">
        <v>206</v>
      </c>
      <c r="B107" s="19" t="s">
        <v>4</v>
      </c>
      <c r="C107" s="13" t="s">
        <v>26</v>
      </c>
      <c r="D107" s="5" t="s">
        <v>13</v>
      </c>
      <c r="E107" s="6">
        <v>45664</v>
      </c>
      <c r="F107" s="16">
        <v>24</v>
      </c>
      <c r="G107" s="11">
        <v>45666</v>
      </c>
      <c r="H107" s="7" t="s">
        <v>29</v>
      </c>
      <c r="I107" t="s">
        <v>62</v>
      </c>
    </row>
    <row r="108" spans="1:9" ht="27.75" x14ac:dyDescent="0.2">
      <c r="A108" s="3">
        <v>207</v>
      </c>
      <c r="B108" s="18" t="s">
        <v>23</v>
      </c>
      <c r="C108" s="12" t="s">
        <v>26</v>
      </c>
      <c r="D108" s="3" t="s">
        <v>12</v>
      </c>
      <c r="E108" s="4">
        <v>45675</v>
      </c>
      <c r="F108" s="15">
        <v>24</v>
      </c>
      <c r="G108" s="4">
        <v>45681</v>
      </c>
      <c r="H108" s="14" t="s">
        <v>29</v>
      </c>
      <c r="I108" t="s">
        <v>62</v>
      </c>
    </row>
    <row r="109" spans="1:9" ht="27.75" x14ac:dyDescent="0.2">
      <c r="A109" s="5">
        <v>208</v>
      </c>
      <c r="B109" s="19" t="s">
        <v>3</v>
      </c>
      <c r="C109" s="13" t="s">
        <v>26</v>
      </c>
      <c r="D109" s="5" t="s">
        <v>14</v>
      </c>
      <c r="E109" s="6">
        <v>45686</v>
      </c>
      <c r="F109" s="16">
        <v>72</v>
      </c>
      <c r="G109" s="11">
        <v>45691</v>
      </c>
      <c r="H109" s="7" t="s">
        <v>29</v>
      </c>
      <c r="I109" t="s">
        <v>62</v>
      </c>
    </row>
    <row r="110" spans="1:9" ht="27.75" x14ac:dyDescent="0.2">
      <c r="A110" s="3">
        <v>209</v>
      </c>
      <c r="B110" s="18" t="s">
        <v>3</v>
      </c>
      <c r="C110" s="12" t="s">
        <v>25</v>
      </c>
      <c r="D110" s="3" t="s">
        <v>14</v>
      </c>
      <c r="E110" s="4">
        <v>45674</v>
      </c>
      <c r="F110" s="15">
        <v>24</v>
      </c>
      <c r="G110" s="4">
        <v>45674</v>
      </c>
      <c r="H110" s="14" t="s">
        <v>30</v>
      </c>
      <c r="I110" t="s">
        <v>62</v>
      </c>
    </row>
    <row r="111" spans="1:9" ht="27.75" x14ac:dyDescent="0.2">
      <c r="A111" s="5">
        <v>210</v>
      </c>
      <c r="B111" s="19" t="s">
        <v>22</v>
      </c>
      <c r="C111" s="13" t="s">
        <v>26</v>
      </c>
      <c r="D111" s="5" t="s">
        <v>14</v>
      </c>
      <c r="E111" s="6">
        <v>45688</v>
      </c>
      <c r="F111" s="16">
        <v>72</v>
      </c>
      <c r="G111" s="11">
        <v>45692</v>
      </c>
      <c r="H111" s="7" t="s">
        <v>29</v>
      </c>
      <c r="I111" t="s">
        <v>62</v>
      </c>
    </row>
    <row r="112" spans="1:9" x14ac:dyDescent="0.2">
      <c r="A112" s="3">
        <v>211</v>
      </c>
      <c r="B112" s="18" t="s">
        <v>22</v>
      </c>
      <c r="C112" s="12" t="s">
        <v>24</v>
      </c>
      <c r="D112" s="3" t="s">
        <v>13</v>
      </c>
      <c r="E112" s="4">
        <v>45673</v>
      </c>
      <c r="F112" s="15">
        <v>72</v>
      </c>
      <c r="G112" s="4">
        <v>45679</v>
      </c>
      <c r="H112" s="14" t="s">
        <v>29</v>
      </c>
      <c r="I112" t="s">
        <v>62</v>
      </c>
    </row>
    <row r="113" spans="1:9" x14ac:dyDescent="0.2">
      <c r="A113" s="5">
        <v>212</v>
      </c>
      <c r="B113" s="19" t="s">
        <v>20</v>
      </c>
      <c r="C113" s="13" t="s">
        <v>28</v>
      </c>
      <c r="D113" s="5" t="s">
        <v>12</v>
      </c>
      <c r="E113" s="6">
        <v>45684</v>
      </c>
      <c r="F113" s="16">
        <v>48</v>
      </c>
      <c r="G113" s="11">
        <v>45691</v>
      </c>
      <c r="H113" s="7" t="s">
        <v>29</v>
      </c>
      <c r="I113" t="s">
        <v>62</v>
      </c>
    </row>
    <row r="114" spans="1:9" x14ac:dyDescent="0.2">
      <c r="A114" s="3">
        <v>213</v>
      </c>
      <c r="B114" s="18" t="s">
        <v>22</v>
      </c>
      <c r="C114" s="12" t="s">
        <v>24</v>
      </c>
      <c r="D114" s="3" t="s">
        <v>14</v>
      </c>
      <c r="E114" s="4">
        <v>45680</v>
      </c>
      <c r="F114" s="15">
        <v>48</v>
      </c>
      <c r="G114" s="4">
        <v>45686</v>
      </c>
      <c r="H114" s="14" t="s">
        <v>29</v>
      </c>
      <c r="I114" t="s">
        <v>62</v>
      </c>
    </row>
    <row r="115" spans="1:9" ht="27.75" x14ac:dyDescent="0.2">
      <c r="A115" s="5">
        <v>214</v>
      </c>
      <c r="B115" s="19" t="s">
        <v>21</v>
      </c>
      <c r="C115" s="13" t="s">
        <v>25</v>
      </c>
      <c r="D115" s="5" t="s">
        <v>14</v>
      </c>
      <c r="E115" s="6">
        <v>45660</v>
      </c>
      <c r="F115" s="16">
        <v>72</v>
      </c>
      <c r="G115" s="11">
        <v>45665</v>
      </c>
      <c r="H115" s="7" t="s">
        <v>29</v>
      </c>
      <c r="I115" t="s">
        <v>62</v>
      </c>
    </row>
    <row r="116" spans="1:9" ht="27.75" x14ac:dyDescent="0.2">
      <c r="A116" s="3">
        <v>215</v>
      </c>
      <c r="B116" s="18" t="s">
        <v>3</v>
      </c>
      <c r="C116" s="12" t="s">
        <v>25</v>
      </c>
      <c r="D116" s="3" t="s">
        <v>12</v>
      </c>
      <c r="E116" s="4">
        <v>45687</v>
      </c>
      <c r="F116" s="15">
        <v>48</v>
      </c>
      <c r="G116" s="4">
        <v>45691</v>
      </c>
      <c r="H116" s="14" t="s">
        <v>29</v>
      </c>
      <c r="I116" t="s">
        <v>62</v>
      </c>
    </row>
    <row r="117" spans="1:9" ht="27.75" x14ac:dyDescent="0.2">
      <c r="A117" s="5">
        <v>216</v>
      </c>
      <c r="B117" s="19" t="s">
        <v>23</v>
      </c>
      <c r="C117" s="13" t="s">
        <v>26</v>
      </c>
      <c r="D117" s="5" t="s">
        <v>12</v>
      </c>
      <c r="E117" s="6">
        <v>45683</v>
      </c>
      <c r="F117" s="16">
        <v>72</v>
      </c>
      <c r="G117" s="11">
        <v>45683</v>
      </c>
      <c r="H117" s="7" t="s">
        <v>30</v>
      </c>
      <c r="I117" t="s">
        <v>62</v>
      </c>
    </row>
    <row r="118" spans="1:9" ht="27.75" x14ac:dyDescent="0.2">
      <c r="A118" s="3">
        <v>217</v>
      </c>
      <c r="B118" s="18" t="s">
        <v>23</v>
      </c>
      <c r="C118" s="12" t="s">
        <v>25</v>
      </c>
      <c r="D118" s="3" t="s">
        <v>13</v>
      </c>
      <c r="E118" s="4">
        <v>45660</v>
      </c>
      <c r="F118" s="15">
        <v>72</v>
      </c>
      <c r="G118" s="4">
        <v>45664</v>
      </c>
      <c r="H118" s="14" t="s">
        <v>29</v>
      </c>
      <c r="I118" t="s">
        <v>62</v>
      </c>
    </row>
    <row r="119" spans="1:9" x14ac:dyDescent="0.2">
      <c r="A119" s="5">
        <v>218</v>
      </c>
      <c r="B119" s="19" t="s">
        <v>2</v>
      </c>
      <c r="C119" s="13" t="s">
        <v>28</v>
      </c>
      <c r="D119" s="5" t="s">
        <v>14</v>
      </c>
      <c r="E119" s="6">
        <v>45659</v>
      </c>
      <c r="F119" s="16">
        <v>48</v>
      </c>
      <c r="G119" s="11">
        <v>45663</v>
      </c>
      <c r="H119" s="7" t="s">
        <v>29</v>
      </c>
      <c r="I119" t="s">
        <v>62</v>
      </c>
    </row>
    <row r="120" spans="1:9" ht="27.75" x14ac:dyDescent="0.2">
      <c r="A120" s="3">
        <v>219</v>
      </c>
      <c r="B120" s="18" t="s">
        <v>23</v>
      </c>
      <c r="C120" s="12" t="s">
        <v>25</v>
      </c>
      <c r="D120" s="3" t="s">
        <v>12</v>
      </c>
      <c r="E120" s="4">
        <v>45662</v>
      </c>
      <c r="F120" s="15">
        <v>48</v>
      </c>
      <c r="G120" s="4">
        <v>45667</v>
      </c>
      <c r="H120" s="14" t="s">
        <v>29</v>
      </c>
      <c r="I120" t="s">
        <v>62</v>
      </c>
    </row>
    <row r="121" spans="1:9" ht="27.75" x14ac:dyDescent="0.2">
      <c r="A121" s="5">
        <v>220</v>
      </c>
      <c r="B121" s="19" t="s">
        <v>2</v>
      </c>
      <c r="C121" s="13" t="s">
        <v>25</v>
      </c>
      <c r="D121" s="5" t="s">
        <v>12</v>
      </c>
      <c r="E121" s="6">
        <v>45668</v>
      </c>
      <c r="F121" s="16">
        <v>24</v>
      </c>
      <c r="G121" s="11">
        <v>45673</v>
      </c>
      <c r="H121" s="7" t="s">
        <v>29</v>
      </c>
      <c r="I121" t="s">
        <v>62</v>
      </c>
    </row>
    <row r="122" spans="1:9" ht="27.75" x14ac:dyDescent="0.2">
      <c r="A122" s="3">
        <v>221</v>
      </c>
      <c r="B122" s="18" t="s">
        <v>1</v>
      </c>
      <c r="C122" s="12" t="s">
        <v>25</v>
      </c>
      <c r="D122" s="3" t="s">
        <v>13</v>
      </c>
      <c r="E122" s="4">
        <v>45664</v>
      </c>
      <c r="F122" s="15">
        <v>72</v>
      </c>
      <c r="G122" s="4">
        <v>45664</v>
      </c>
      <c r="H122" s="14" t="s">
        <v>30</v>
      </c>
      <c r="I122" t="s">
        <v>62</v>
      </c>
    </row>
    <row r="123" spans="1:9" x14ac:dyDescent="0.2">
      <c r="A123" s="5">
        <v>222</v>
      </c>
      <c r="B123" s="19" t="s">
        <v>4</v>
      </c>
      <c r="C123" s="13" t="s">
        <v>24</v>
      </c>
      <c r="D123" s="5" t="s">
        <v>14</v>
      </c>
      <c r="E123" s="6">
        <v>45687</v>
      </c>
      <c r="F123" s="16">
        <v>24</v>
      </c>
      <c r="G123" s="11">
        <v>45693</v>
      </c>
      <c r="H123" s="7" t="s">
        <v>29</v>
      </c>
      <c r="I123" t="s">
        <v>62</v>
      </c>
    </row>
    <row r="124" spans="1:9" x14ac:dyDescent="0.2">
      <c r="A124" s="3">
        <v>223</v>
      </c>
      <c r="B124" s="18" t="s">
        <v>22</v>
      </c>
      <c r="C124" s="12" t="s">
        <v>28</v>
      </c>
      <c r="D124" s="3" t="s">
        <v>12</v>
      </c>
      <c r="E124" s="4">
        <v>45685</v>
      </c>
      <c r="F124" s="15">
        <v>48</v>
      </c>
      <c r="G124" s="4">
        <v>45689</v>
      </c>
      <c r="H124" s="14" t="s">
        <v>29</v>
      </c>
      <c r="I124" t="s">
        <v>62</v>
      </c>
    </row>
    <row r="125" spans="1:9" ht="27.75" x14ac:dyDescent="0.2">
      <c r="A125" s="5">
        <v>224</v>
      </c>
      <c r="B125" s="19" t="s">
        <v>4</v>
      </c>
      <c r="C125" s="13" t="s">
        <v>25</v>
      </c>
      <c r="D125" s="5" t="s">
        <v>13</v>
      </c>
      <c r="E125" s="6">
        <v>45668</v>
      </c>
      <c r="F125" s="16">
        <v>24</v>
      </c>
      <c r="G125" s="11">
        <v>45673</v>
      </c>
      <c r="H125" s="7" t="s">
        <v>29</v>
      </c>
      <c r="I125" t="s">
        <v>62</v>
      </c>
    </row>
    <row r="126" spans="1:9" ht="27.75" x14ac:dyDescent="0.2">
      <c r="A126" s="3">
        <v>225</v>
      </c>
      <c r="B126" s="18" t="s">
        <v>21</v>
      </c>
      <c r="C126" s="12" t="s">
        <v>25</v>
      </c>
      <c r="D126" s="3" t="s">
        <v>13</v>
      </c>
      <c r="E126" s="4">
        <v>45686</v>
      </c>
      <c r="F126" s="15">
        <v>48</v>
      </c>
      <c r="G126" s="4">
        <v>45692</v>
      </c>
      <c r="H126" s="14" t="s">
        <v>29</v>
      </c>
      <c r="I126" t="s">
        <v>62</v>
      </c>
    </row>
    <row r="127" spans="1:9" ht="27.75" x14ac:dyDescent="0.2">
      <c r="A127" s="5">
        <v>226</v>
      </c>
      <c r="B127" s="19" t="s">
        <v>20</v>
      </c>
      <c r="C127" s="13" t="s">
        <v>26</v>
      </c>
      <c r="D127" s="5" t="s">
        <v>14</v>
      </c>
      <c r="E127" s="6">
        <v>45660</v>
      </c>
      <c r="F127" s="16">
        <v>48</v>
      </c>
      <c r="G127" s="11">
        <v>45665</v>
      </c>
      <c r="H127" s="7" t="s">
        <v>29</v>
      </c>
      <c r="I127" t="s">
        <v>62</v>
      </c>
    </row>
    <row r="128" spans="1:9" x14ac:dyDescent="0.2">
      <c r="A128" s="3">
        <v>227</v>
      </c>
      <c r="B128" s="18" t="s">
        <v>4</v>
      </c>
      <c r="C128" s="12" t="s">
        <v>27</v>
      </c>
      <c r="D128" s="3" t="s">
        <v>12</v>
      </c>
      <c r="E128" s="4">
        <v>45678</v>
      </c>
      <c r="F128" s="15">
        <v>48</v>
      </c>
      <c r="G128" s="4">
        <v>45680</v>
      </c>
      <c r="H128" s="14" t="s">
        <v>30</v>
      </c>
      <c r="I128" t="s">
        <v>62</v>
      </c>
    </row>
    <row r="129" spans="1:9" ht="27.75" x14ac:dyDescent="0.2">
      <c r="A129" s="5">
        <v>228</v>
      </c>
      <c r="B129" s="19" t="s">
        <v>23</v>
      </c>
      <c r="C129" s="13" t="s">
        <v>25</v>
      </c>
      <c r="D129" s="5" t="s">
        <v>13</v>
      </c>
      <c r="E129" s="6">
        <v>45661</v>
      </c>
      <c r="F129" s="16">
        <v>48</v>
      </c>
      <c r="G129" s="11">
        <v>45664</v>
      </c>
      <c r="H129" s="7" t="s">
        <v>29</v>
      </c>
      <c r="I129" t="s">
        <v>62</v>
      </c>
    </row>
    <row r="130" spans="1:9" ht="27.75" x14ac:dyDescent="0.2">
      <c r="A130" s="3">
        <v>229</v>
      </c>
      <c r="B130" s="18" t="s">
        <v>2</v>
      </c>
      <c r="C130" s="12" t="s">
        <v>25</v>
      </c>
      <c r="D130" s="3" t="s">
        <v>12</v>
      </c>
      <c r="E130" s="4">
        <v>45681</v>
      </c>
      <c r="F130" s="15">
        <v>72</v>
      </c>
      <c r="G130" s="4">
        <v>45683</v>
      </c>
      <c r="H130" s="14" t="s">
        <v>30</v>
      </c>
      <c r="I130" t="s">
        <v>62</v>
      </c>
    </row>
    <row r="131" spans="1:9" x14ac:dyDescent="0.2">
      <c r="A131" s="5">
        <v>230</v>
      </c>
      <c r="B131" s="19" t="s">
        <v>22</v>
      </c>
      <c r="C131" s="13" t="s">
        <v>24</v>
      </c>
      <c r="D131" s="5" t="s">
        <v>13</v>
      </c>
      <c r="E131" s="6">
        <v>45683</v>
      </c>
      <c r="F131" s="16">
        <v>48</v>
      </c>
      <c r="G131" s="11">
        <v>45684</v>
      </c>
      <c r="H131" s="7" t="s">
        <v>30</v>
      </c>
      <c r="I131" t="s">
        <v>62</v>
      </c>
    </row>
    <row r="132" spans="1:9" x14ac:dyDescent="0.2">
      <c r="A132" s="3">
        <v>231</v>
      </c>
      <c r="B132" s="18" t="s">
        <v>2</v>
      </c>
      <c r="C132" s="12" t="s">
        <v>27</v>
      </c>
      <c r="D132" s="3" t="s">
        <v>13</v>
      </c>
      <c r="E132" s="4">
        <v>45665</v>
      </c>
      <c r="F132" s="15">
        <v>48</v>
      </c>
      <c r="G132" s="4">
        <v>45665</v>
      </c>
      <c r="H132" s="14" t="s">
        <v>30</v>
      </c>
      <c r="I132" t="s">
        <v>62</v>
      </c>
    </row>
    <row r="133" spans="1:9" ht="27.75" x14ac:dyDescent="0.2">
      <c r="A133" s="5">
        <v>232</v>
      </c>
      <c r="B133" s="19" t="s">
        <v>23</v>
      </c>
      <c r="C133" s="13" t="s">
        <v>26</v>
      </c>
      <c r="D133" s="5" t="s">
        <v>12</v>
      </c>
      <c r="E133" s="6">
        <v>45668</v>
      </c>
      <c r="F133" s="16">
        <v>24</v>
      </c>
      <c r="G133" s="11">
        <v>45669</v>
      </c>
      <c r="H133" s="7" t="s">
        <v>30</v>
      </c>
      <c r="I133" t="s">
        <v>62</v>
      </c>
    </row>
    <row r="134" spans="1:9" ht="27.75" x14ac:dyDescent="0.2">
      <c r="A134" s="3">
        <v>233</v>
      </c>
      <c r="B134" s="18" t="s">
        <v>2</v>
      </c>
      <c r="C134" s="12" t="s">
        <v>25</v>
      </c>
      <c r="D134" s="3" t="s">
        <v>14</v>
      </c>
      <c r="E134" s="4">
        <v>45681</v>
      </c>
      <c r="F134" s="15">
        <v>72</v>
      </c>
      <c r="G134" s="4">
        <v>45687</v>
      </c>
      <c r="H134" s="14" t="s">
        <v>29</v>
      </c>
      <c r="I134" t="s">
        <v>62</v>
      </c>
    </row>
    <row r="135" spans="1:9" x14ac:dyDescent="0.2">
      <c r="A135" s="5">
        <v>234</v>
      </c>
      <c r="B135" s="19" t="s">
        <v>2</v>
      </c>
      <c r="C135" s="13" t="s">
        <v>24</v>
      </c>
      <c r="D135" s="5" t="s">
        <v>12</v>
      </c>
      <c r="E135" s="6">
        <v>45682</v>
      </c>
      <c r="F135" s="16">
        <v>72</v>
      </c>
      <c r="G135" s="11">
        <v>45689</v>
      </c>
      <c r="H135" s="7" t="s">
        <v>29</v>
      </c>
      <c r="I135" t="s">
        <v>62</v>
      </c>
    </row>
    <row r="136" spans="1:9" ht="27.75" x14ac:dyDescent="0.2">
      <c r="A136" s="3">
        <v>235</v>
      </c>
      <c r="B136" s="18" t="s">
        <v>2</v>
      </c>
      <c r="C136" s="12" t="s">
        <v>26</v>
      </c>
      <c r="D136" s="3" t="s">
        <v>12</v>
      </c>
      <c r="E136" s="4">
        <v>45677</v>
      </c>
      <c r="F136" s="15">
        <v>72</v>
      </c>
      <c r="G136" s="4">
        <v>45680</v>
      </c>
      <c r="H136" s="14" t="s">
        <v>30</v>
      </c>
      <c r="I136" t="s">
        <v>62</v>
      </c>
    </row>
    <row r="137" spans="1:9" x14ac:dyDescent="0.2">
      <c r="A137" s="5">
        <v>236</v>
      </c>
      <c r="B137" s="19" t="s">
        <v>23</v>
      </c>
      <c r="C137" s="13" t="s">
        <v>27</v>
      </c>
      <c r="D137" s="5" t="s">
        <v>14</v>
      </c>
      <c r="E137" s="6">
        <v>45687</v>
      </c>
      <c r="F137" s="16">
        <v>72</v>
      </c>
      <c r="G137" s="11">
        <v>45690</v>
      </c>
      <c r="H137" s="7" t="s">
        <v>30</v>
      </c>
      <c r="I137" t="s">
        <v>63</v>
      </c>
    </row>
    <row r="138" spans="1:9" ht="27.75" x14ac:dyDescent="0.2">
      <c r="A138" s="3">
        <v>237</v>
      </c>
      <c r="B138" s="18" t="s">
        <v>22</v>
      </c>
      <c r="C138" s="12" t="s">
        <v>25</v>
      </c>
      <c r="D138" s="3" t="s">
        <v>14</v>
      </c>
      <c r="E138" s="4">
        <v>45672</v>
      </c>
      <c r="F138" s="15">
        <v>24</v>
      </c>
      <c r="G138" s="4">
        <v>45676</v>
      </c>
      <c r="H138" s="14" t="s">
        <v>29</v>
      </c>
      <c r="I138" t="s">
        <v>62</v>
      </c>
    </row>
    <row r="139" spans="1:9" ht="27.75" x14ac:dyDescent="0.2">
      <c r="A139" s="5">
        <v>238</v>
      </c>
      <c r="B139" s="19" t="s">
        <v>4</v>
      </c>
      <c r="C139" s="13" t="s">
        <v>26</v>
      </c>
      <c r="D139" s="5" t="s">
        <v>12</v>
      </c>
      <c r="E139" s="6">
        <v>45687</v>
      </c>
      <c r="F139" s="16">
        <v>48</v>
      </c>
      <c r="G139" s="11">
        <v>45689</v>
      </c>
      <c r="H139" s="7" t="s">
        <v>30</v>
      </c>
      <c r="I139" t="s">
        <v>62</v>
      </c>
    </row>
    <row r="140" spans="1:9" x14ac:dyDescent="0.2">
      <c r="A140" s="3">
        <v>239</v>
      </c>
      <c r="B140" s="18" t="s">
        <v>21</v>
      </c>
      <c r="C140" s="12" t="s">
        <v>28</v>
      </c>
      <c r="D140" s="3" t="s">
        <v>14</v>
      </c>
      <c r="E140" s="4">
        <v>45679</v>
      </c>
      <c r="F140" s="15">
        <v>24</v>
      </c>
      <c r="G140" s="4">
        <v>45679</v>
      </c>
      <c r="H140" s="14" t="s">
        <v>30</v>
      </c>
      <c r="I140" t="s">
        <v>62</v>
      </c>
    </row>
    <row r="141" spans="1:9" x14ac:dyDescent="0.2">
      <c r="A141" s="5">
        <v>240</v>
      </c>
      <c r="B141" s="19" t="s">
        <v>20</v>
      </c>
      <c r="C141" s="13" t="s">
        <v>24</v>
      </c>
      <c r="D141" s="5" t="s">
        <v>13</v>
      </c>
      <c r="E141" s="6">
        <v>45660</v>
      </c>
      <c r="F141" s="16">
        <v>24</v>
      </c>
      <c r="G141" s="11">
        <v>45666</v>
      </c>
      <c r="H141" s="7" t="s">
        <v>29</v>
      </c>
      <c r="I141" t="s">
        <v>62</v>
      </c>
    </row>
    <row r="142" spans="1:9" x14ac:dyDescent="0.2">
      <c r="A142" s="3">
        <v>241</v>
      </c>
      <c r="B142" s="18" t="s">
        <v>1</v>
      </c>
      <c r="C142" s="12" t="s">
        <v>27</v>
      </c>
      <c r="D142" s="3" t="s">
        <v>13</v>
      </c>
      <c r="E142" s="4">
        <v>45659</v>
      </c>
      <c r="F142" s="15">
        <v>24</v>
      </c>
      <c r="G142" s="4">
        <v>45666</v>
      </c>
      <c r="H142" s="14" t="s">
        <v>29</v>
      </c>
      <c r="I142" t="s">
        <v>62</v>
      </c>
    </row>
    <row r="143" spans="1:9" x14ac:dyDescent="0.2">
      <c r="A143" s="5">
        <v>242</v>
      </c>
      <c r="B143" s="19" t="s">
        <v>21</v>
      </c>
      <c r="C143" s="13" t="s">
        <v>27</v>
      </c>
      <c r="D143" s="5" t="s">
        <v>13</v>
      </c>
      <c r="E143" s="6">
        <v>45688</v>
      </c>
      <c r="F143" s="16">
        <v>48</v>
      </c>
      <c r="G143" s="11">
        <v>45695</v>
      </c>
      <c r="H143" s="7" t="s">
        <v>29</v>
      </c>
      <c r="I143" t="s">
        <v>62</v>
      </c>
    </row>
    <row r="144" spans="1:9" x14ac:dyDescent="0.2">
      <c r="A144" s="3">
        <v>243</v>
      </c>
      <c r="B144" s="18" t="s">
        <v>1</v>
      </c>
      <c r="C144" s="12" t="s">
        <v>27</v>
      </c>
      <c r="D144" s="3" t="s">
        <v>13</v>
      </c>
      <c r="E144" s="4">
        <v>45681</v>
      </c>
      <c r="F144" s="15">
        <v>72</v>
      </c>
      <c r="G144" s="4">
        <v>45688</v>
      </c>
      <c r="H144" s="14" t="s">
        <v>29</v>
      </c>
      <c r="I144" t="s">
        <v>62</v>
      </c>
    </row>
    <row r="145" spans="1:9" x14ac:dyDescent="0.2">
      <c r="A145" s="5">
        <v>244</v>
      </c>
      <c r="B145" s="19" t="s">
        <v>20</v>
      </c>
      <c r="C145" s="13" t="s">
        <v>28</v>
      </c>
      <c r="D145" s="5" t="s">
        <v>12</v>
      </c>
      <c r="E145" s="6">
        <v>45688</v>
      </c>
      <c r="F145" s="16">
        <v>48</v>
      </c>
      <c r="G145" s="11">
        <v>45690</v>
      </c>
      <c r="H145" s="7" t="s">
        <v>30</v>
      </c>
      <c r="I145" t="s">
        <v>62</v>
      </c>
    </row>
    <row r="146" spans="1:9" x14ac:dyDescent="0.2">
      <c r="A146" s="3">
        <v>245</v>
      </c>
      <c r="B146" s="18" t="s">
        <v>4</v>
      </c>
      <c r="C146" s="12" t="s">
        <v>27</v>
      </c>
      <c r="D146" s="3" t="s">
        <v>14</v>
      </c>
      <c r="E146" s="4">
        <v>45659</v>
      </c>
      <c r="F146" s="15">
        <v>72</v>
      </c>
      <c r="G146" s="4">
        <v>45660</v>
      </c>
      <c r="H146" s="14" t="s">
        <v>30</v>
      </c>
      <c r="I146" t="s">
        <v>62</v>
      </c>
    </row>
    <row r="147" spans="1:9" x14ac:dyDescent="0.2">
      <c r="A147" s="5">
        <v>246</v>
      </c>
      <c r="B147" s="19" t="s">
        <v>3</v>
      </c>
      <c r="C147" s="13" t="s">
        <v>27</v>
      </c>
      <c r="D147" s="5" t="s">
        <v>13</v>
      </c>
      <c r="E147" s="6">
        <v>45688</v>
      </c>
      <c r="F147" s="16">
        <v>24</v>
      </c>
      <c r="G147" s="11">
        <v>45693</v>
      </c>
      <c r="H147" s="7" t="s">
        <v>29</v>
      </c>
      <c r="I147" t="s">
        <v>62</v>
      </c>
    </row>
    <row r="148" spans="1:9" ht="27.75" x14ac:dyDescent="0.2">
      <c r="A148" s="3">
        <v>247</v>
      </c>
      <c r="B148" s="18" t="s">
        <v>4</v>
      </c>
      <c r="C148" s="12" t="s">
        <v>25</v>
      </c>
      <c r="D148" s="3" t="s">
        <v>13</v>
      </c>
      <c r="E148" s="4">
        <v>45682</v>
      </c>
      <c r="F148" s="15">
        <v>48</v>
      </c>
      <c r="G148" s="4">
        <v>45688</v>
      </c>
      <c r="H148" s="14" t="s">
        <v>29</v>
      </c>
      <c r="I148" t="s">
        <v>62</v>
      </c>
    </row>
    <row r="149" spans="1:9" x14ac:dyDescent="0.2">
      <c r="A149" s="5">
        <v>248</v>
      </c>
      <c r="B149" s="19" t="s">
        <v>2</v>
      </c>
      <c r="C149" s="13" t="s">
        <v>27</v>
      </c>
      <c r="D149" s="5" t="s">
        <v>12</v>
      </c>
      <c r="E149" s="6">
        <v>45667</v>
      </c>
      <c r="F149" s="16">
        <v>72</v>
      </c>
      <c r="G149" s="11">
        <v>45674</v>
      </c>
      <c r="H149" s="7" t="s">
        <v>29</v>
      </c>
      <c r="I149" t="s">
        <v>62</v>
      </c>
    </row>
    <row r="150" spans="1:9" x14ac:dyDescent="0.2">
      <c r="A150" s="3">
        <v>249</v>
      </c>
      <c r="B150" s="18" t="s">
        <v>4</v>
      </c>
      <c r="C150" s="12" t="s">
        <v>28</v>
      </c>
      <c r="D150" s="3" t="s">
        <v>14</v>
      </c>
      <c r="E150" s="4">
        <v>45684</v>
      </c>
      <c r="F150" s="15">
        <v>48</v>
      </c>
      <c r="G150" s="4">
        <v>45687</v>
      </c>
      <c r="H150" s="14" t="s">
        <v>29</v>
      </c>
      <c r="I150" t="s">
        <v>62</v>
      </c>
    </row>
    <row r="151" spans="1:9" x14ac:dyDescent="0.2">
      <c r="A151" s="5">
        <v>250</v>
      </c>
      <c r="B151" s="19" t="s">
        <v>4</v>
      </c>
      <c r="C151" s="13" t="s">
        <v>28</v>
      </c>
      <c r="D151" s="5" t="s">
        <v>14</v>
      </c>
      <c r="E151" s="6">
        <v>45676</v>
      </c>
      <c r="F151" s="16">
        <v>48</v>
      </c>
      <c r="G151" s="11">
        <v>45681</v>
      </c>
      <c r="H151" s="7" t="s">
        <v>29</v>
      </c>
      <c r="I151" t="s">
        <v>62</v>
      </c>
    </row>
    <row r="152" spans="1:9" ht="27.75" x14ac:dyDescent="0.2">
      <c r="A152" s="3">
        <v>251</v>
      </c>
      <c r="B152" s="18" t="s">
        <v>2</v>
      </c>
      <c r="C152" s="12" t="s">
        <v>25</v>
      </c>
      <c r="D152" s="3" t="s">
        <v>13</v>
      </c>
      <c r="E152" s="4">
        <v>45685</v>
      </c>
      <c r="F152" s="15">
        <v>72</v>
      </c>
      <c r="G152" s="4">
        <v>45690</v>
      </c>
      <c r="H152" s="14" t="s">
        <v>29</v>
      </c>
      <c r="I152" t="s">
        <v>62</v>
      </c>
    </row>
    <row r="153" spans="1:9" x14ac:dyDescent="0.2">
      <c r="A153" s="5">
        <v>252</v>
      </c>
      <c r="B153" s="19" t="s">
        <v>4</v>
      </c>
      <c r="C153" s="13" t="s">
        <v>24</v>
      </c>
      <c r="D153" s="5" t="s">
        <v>12</v>
      </c>
      <c r="E153" s="6">
        <v>45676</v>
      </c>
      <c r="F153" s="16">
        <v>72</v>
      </c>
      <c r="G153" s="11">
        <v>45676</v>
      </c>
      <c r="H153" s="7" t="s">
        <v>30</v>
      </c>
      <c r="I153" t="s">
        <v>62</v>
      </c>
    </row>
    <row r="154" spans="1:9" x14ac:dyDescent="0.2">
      <c r="A154" s="3">
        <v>253</v>
      </c>
      <c r="B154" s="18" t="s">
        <v>3</v>
      </c>
      <c r="C154" s="12" t="s">
        <v>24</v>
      </c>
      <c r="D154" s="3" t="s">
        <v>14</v>
      </c>
      <c r="E154" s="4">
        <v>45669</v>
      </c>
      <c r="F154" s="15">
        <v>72</v>
      </c>
      <c r="G154" s="4">
        <v>45673</v>
      </c>
      <c r="H154" s="14" t="s">
        <v>29</v>
      </c>
      <c r="I154" t="s">
        <v>62</v>
      </c>
    </row>
    <row r="155" spans="1:9" ht="27.75" x14ac:dyDescent="0.2">
      <c r="A155" s="5">
        <v>254</v>
      </c>
      <c r="B155" s="19" t="s">
        <v>2</v>
      </c>
      <c r="C155" s="13" t="s">
        <v>25</v>
      </c>
      <c r="D155" s="5" t="s">
        <v>12</v>
      </c>
      <c r="E155" s="6">
        <v>45683</v>
      </c>
      <c r="F155" s="16">
        <v>48</v>
      </c>
      <c r="G155" s="11">
        <v>45684</v>
      </c>
      <c r="H155" s="7" t="s">
        <v>30</v>
      </c>
      <c r="I155" t="s">
        <v>62</v>
      </c>
    </row>
    <row r="156" spans="1:9" x14ac:dyDescent="0.2">
      <c r="A156" s="3">
        <v>255</v>
      </c>
      <c r="B156" s="18" t="s">
        <v>4</v>
      </c>
      <c r="C156" s="12" t="s">
        <v>24</v>
      </c>
      <c r="D156" s="3" t="s">
        <v>13</v>
      </c>
      <c r="E156" s="4">
        <v>45671</v>
      </c>
      <c r="F156" s="15">
        <v>72</v>
      </c>
      <c r="G156" s="4">
        <v>45676</v>
      </c>
      <c r="H156" s="14" t="s">
        <v>29</v>
      </c>
      <c r="I156" t="s">
        <v>63</v>
      </c>
    </row>
    <row r="157" spans="1:9" x14ac:dyDescent="0.2">
      <c r="A157" s="5">
        <v>256</v>
      </c>
      <c r="B157" s="19" t="s">
        <v>21</v>
      </c>
      <c r="C157" s="13" t="s">
        <v>28</v>
      </c>
      <c r="D157" s="5" t="s">
        <v>14</v>
      </c>
      <c r="E157" s="6">
        <v>45680</v>
      </c>
      <c r="F157" s="16">
        <v>48</v>
      </c>
      <c r="G157" s="11">
        <v>45684</v>
      </c>
      <c r="H157" s="7" t="s">
        <v>29</v>
      </c>
      <c r="I157" t="s">
        <v>62</v>
      </c>
    </row>
    <row r="158" spans="1:9" x14ac:dyDescent="0.2">
      <c r="A158" s="3">
        <v>257</v>
      </c>
      <c r="B158" s="18" t="s">
        <v>4</v>
      </c>
      <c r="C158" s="12" t="s">
        <v>27</v>
      </c>
      <c r="D158" s="3" t="s">
        <v>13</v>
      </c>
      <c r="E158" s="4">
        <v>45663</v>
      </c>
      <c r="F158" s="15">
        <v>24</v>
      </c>
      <c r="G158" s="4">
        <v>45663</v>
      </c>
      <c r="H158" s="14" t="s">
        <v>30</v>
      </c>
      <c r="I158" t="s">
        <v>63</v>
      </c>
    </row>
    <row r="159" spans="1:9" x14ac:dyDescent="0.2">
      <c r="A159" s="5">
        <v>258</v>
      </c>
      <c r="B159" s="19" t="s">
        <v>4</v>
      </c>
      <c r="C159" s="13" t="s">
        <v>27</v>
      </c>
      <c r="D159" s="5" t="s">
        <v>12</v>
      </c>
      <c r="E159" s="6">
        <v>45672</v>
      </c>
      <c r="F159" s="16">
        <v>24</v>
      </c>
      <c r="G159" s="11">
        <v>45672</v>
      </c>
      <c r="H159" s="7" t="s">
        <v>30</v>
      </c>
      <c r="I159" t="s">
        <v>62</v>
      </c>
    </row>
    <row r="160" spans="1:9" ht="27.75" x14ac:dyDescent="0.2">
      <c r="A160" s="3">
        <v>259</v>
      </c>
      <c r="B160" s="18" t="s">
        <v>1</v>
      </c>
      <c r="C160" s="12" t="s">
        <v>25</v>
      </c>
      <c r="D160" s="3" t="s">
        <v>14</v>
      </c>
      <c r="E160" s="4">
        <v>45680</v>
      </c>
      <c r="F160" s="15">
        <v>24</v>
      </c>
      <c r="G160" s="4">
        <v>45680</v>
      </c>
      <c r="H160" s="14" t="s">
        <v>30</v>
      </c>
      <c r="I160" t="s">
        <v>63</v>
      </c>
    </row>
    <row r="161" spans="1:9" ht="27.75" x14ac:dyDescent="0.2">
      <c r="A161" s="5">
        <v>260</v>
      </c>
      <c r="B161" s="19" t="s">
        <v>20</v>
      </c>
      <c r="C161" s="13" t="s">
        <v>26</v>
      </c>
      <c r="D161" s="5" t="s">
        <v>13</v>
      </c>
      <c r="E161" s="6">
        <v>45675</v>
      </c>
      <c r="F161" s="16">
        <v>24</v>
      </c>
      <c r="G161" s="11">
        <v>45675</v>
      </c>
      <c r="H161" s="7" t="s">
        <v>30</v>
      </c>
      <c r="I161" t="s">
        <v>62</v>
      </c>
    </row>
    <row r="162" spans="1:9" x14ac:dyDescent="0.2">
      <c r="A162" s="3">
        <v>261</v>
      </c>
      <c r="B162" s="18" t="s">
        <v>23</v>
      </c>
      <c r="C162" s="12" t="s">
        <v>28</v>
      </c>
      <c r="D162" s="3" t="s">
        <v>12</v>
      </c>
      <c r="E162" s="4">
        <v>45683</v>
      </c>
      <c r="F162" s="15">
        <v>72</v>
      </c>
      <c r="G162" s="4">
        <v>45689</v>
      </c>
      <c r="H162" s="14" t="s">
        <v>29</v>
      </c>
      <c r="I162" t="s">
        <v>63</v>
      </c>
    </row>
    <row r="163" spans="1:9" x14ac:dyDescent="0.2">
      <c r="A163" s="5">
        <v>262</v>
      </c>
      <c r="B163" s="19" t="s">
        <v>2</v>
      </c>
      <c r="C163" s="13" t="s">
        <v>27</v>
      </c>
      <c r="D163" s="5" t="s">
        <v>13</v>
      </c>
      <c r="E163" s="6">
        <v>45674</v>
      </c>
      <c r="F163" s="16">
        <v>48</v>
      </c>
      <c r="G163" s="11">
        <v>45679</v>
      </c>
      <c r="H163" s="7" t="s">
        <v>29</v>
      </c>
      <c r="I163" t="s">
        <v>62</v>
      </c>
    </row>
    <row r="164" spans="1:9" ht="27.75" x14ac:dyDescent="0.2">
      <c r="A164" s="3">
        <v>263</v>
      </c>
      <c r="B164" s="18" t="s">
        <v>22</v>
      </c>
      <c r="C164" s="12" t="s">
        <v>26</v>
      </c>
      <c r="D164" s="3" t="s">
        <v>14</v>
      </c>
      <c r="E164" s="4">
        <v>45673</v>
      </c>
      <c r="F164" s="15">
        <v>24</v>
      </c>
      <c r="G164" s="4">
        <v>45679</v>
      </c>
      <c r="H164" s="14" t="s">
        <v>29</v>
      </c>
      <c r="I164" t="s">
        <v>62</v>
      </c>
    </row>
    <row r="165" spans="1:9" ht="27.75" x14ac:dyDescent="0.2">
      <c r="A165" s="5">
        <v>264</v>
      </c>
      <c r="B165" s="19" t="s">
        <v>20</v>
      </c>
      <c r="C165" s="13" t="s">
        <v>26</v>
      </c>
      <c r="D165" s="5" t="s">
        <v>14</v>
      </c>
      <c r="E165" s="6">
        <v>45661</v>
      </c>
      <c r="F165" s="16">
        <v>48</v>
      </c>
      <c r="G165" s="11">
        <v>45666</v>
      </c>
      <c r="H165" s="7" t="s">
        <v>29</v>
      </c>
      <c r="I165" t="s">
        <v>62</v>
      </c>
    </row>
    <row r="166" spans="1:9" x14ac:dyDescent="0.2">
      <c r="A166" s="3">
        <v>265</v>
      </c>
      <c r="B166" s="18" t="s">
        <v>4</v>
      </c>
      <c r="C166" s="12" t="s">
        <v>27</v>
      </c>
      <c r="D166" s="3" t="s">
        <v>14</v>
      </c>
      <c r="E166" s="4">
        <v>45675</v>
      </c>
      <c r="F166" s="15">
        <v>48</v>
      </c>
      <c r="G166" s="4">
        <v>45681</v>
      </c>
      <c r="H166" s="14" t="s">
        <v>29</v>
      </c>
      <c r="I166" t="s">
        <v>62</v>
      </c>
    </row>
    <row r="167" spans="1:9" x14ac:dyDescent="0.2">
      <c r="A167" s="5">
        <v>266</v>
      </c>
      <c r="B167" s="19" t="s">
        <v>23</v>
      </c>
      <c r="C167" s="13" t="s">
        <v>27</v>
      </c>
      <c r="D167" s="5" t="s">
        <v>13</v>
      </c>
      <c r="E167" s="6">
        <v>45688</v>
      </c>
      <c r="F167" s="16">
        <v>24</v>
      </c>
      <c r="G167" s="11">
        <v>45688</v>
      </c>
      <c r="H167" s="7" t="s">
        <v>30</v>
      </c>
      <c r="I167" t="s">
        <v>62</v>
      </c>
    </row>
    <row r="168" spans="1:9" x14ac:dyDescent="0.2">
      <c r="A168" s="3">
        <v>267</v>
      </c>
      <c r="B168" s="18" t="s">
        <v>22</v>
      </c>
      <c r="C168" s="12" t="s">
        <v>24</v>
      </c>
      <c r="D168" s="3" t="s">
        <v>14</v>
      </c>
      <c r="E168" s="4">
        <v>45680</v>
      </c>
      <c r="F168" s="15">
        <v>48</v>
      </c>
      <c r="G168" s="4">
        <v>45680</v>
      </c>
      <c r="H168" s="14" t="s">
        <v>30</v>
      </c>
      <c r="I168" t="s">
        <v>62</v>
      </c>
    </row>
    <row r="169" spans="1:9" x14ac:dyDescent="0.2">
      <c r="A169" s="5">
        <v>268</v>
      </c>
      <c r="B169" s="19" t="s">
        <v>1</v>
      </c>
      <c r="C169" s="13" t="s">
        <v>28</v>
      </c>
      <c r="D169" s="5" t="s">
        <v>12</v>
      </c>
      <c r="E169" s="6">
        <v>45684</v>
      </c>
      <c r="F169" s="16">
        <v>72</v>
      </c>
      <c r="G169" s="11">
        <v>45687</v>
      </c>
      <c r="H169" s="7" t="s">
        <v>30</v>
      </c>
      <c r="I169" t="s">
        <v>62</v>
      </c>
    </row>
    <row r="170" spans="1:9" ht="27.75" x14ac:dyDescent="0.2">
      <c r="A170" s="3">
        <v>269</v>
      </c>
      <c r="B170" s="18" t="s">
        <v>2</v>
      </c>
      <c r="C170" s="12" t="s">
        <v>25</v>
      </c>
      <c r="D170" s="3" t="s">
        <v>12</v>
      </c>
      <c r="E170" s="4">
        <v>45665</v>
      </c>
      <c r="F170" s="15">
        <v>72</v>
      </c>
      <c r="G170" s="4">
        <v>45672</v>
      </c>
      <c r="H170" s="14" t="s">
        <v>29</v>
      </c>
      <c r="I170" t="s">
        <v>62</v>
      </c>
    </row>
    <row r="171" spans="1:9" ht="27.75" x14ac:dyDescent="0.2">
      <c r="A171" s="5">
        <v>270</v>
      </c>
      <c r="B171" s="19" t="s">
        <v>2</v>
      </c>
      <c r="C171" s="13" t="s">
        <v>26</v>
      </c>
      <c r="D171" s="5" t="s">
        <v>14</v>
      </c>
      <c r="E171" s="6">
        <v>45662</v>
      </c>
      <c r="F171" s="16">
        <v>48</v>
      </c>
      <c r="G171" s="11">
        <v>45664</v>
      </c>
      <c r="H171" s="7" t="s">
        <v>30</v>
      </c>
      <c r="I171" t="s">
        <v>62</v>
      </c>
    </row>
    <row r="172" spans="1:9" x14ac:dyDescent="0.2">
      <c r="A172" s="3">
        <v>271</v>
      </c>
      <c r="B172" s="18" t="s">
        <v>22</v>
      </c>
      <c r="C172" s="12" t="s">
        <v>28</v>
      </c>
      <c r="D172" s="3" t="s">
        <v>12</v>
      </c>
      <c r="E172" s="4">
        <v>45679</v>
      </c>
      <c r="F172" s="15">
        <v>72</v>
      </c>
      <c r="G172" s="4">
        <v>45683</v>
      </c>
      <c r="H172" s="14" t="s">
        <v>29</v>
      </c>
      <c r="I172" t="s">
        <v>62</v>
      </c>
    </row>
    <row r="173" spans="1:9" x14ac:dyDescent="0.2">
      <c r="A173" s="5">
        <v>272</v>
      </c>
      <c r="B173" s="19" t="s">
        <v>20</v>
      </c>
      <c r="C173" s="13" t="s">
        <v>28</v>
      </c>
      <c r="D173" s="5" t="s">
        <v>14</v>
      </c>
      <c r="E173" s="6">
        <v>45668</v>
      </c>
      <c r="F173" s="16">
        <v>72</v>
      </c>
      <c r="G173" s="11">
        <v>45675</v>
      </c>
      <c r="H173" s="7" t="s">
        <v>29</v>
      </c>
      <c r="I173" t="s">
        <v>63</v>
      </c>
    </row>
    <row r="174" spans="1:9" ht="27.75" x14ac:dyDescent="0.2">
      <c r="A174" s="3">
        <v>273</v>
      </c>
      <c r="B174" s="18" t="s">
        <v>20</v>
      </c>
      <c r="C174" s="12" t="s">
        <v>26</v>
      </c>
      <c r="D174" s="3" t="s">
        <v>12</v>
      </c>
      <c r="E174" s="4">
        <v>45680</v>
      </c>
      <c r="F174" s="15">
        <v>48</v>
      </c>
      <c r="G174" s="4">
        <v>45684</v>
      </c>
      <c r="H174" s="14" t="s">
        <v>29</v>
      </c>
      <c r="I174" t="s">
        <v>62</v>
      </c>
    </row>
    <row r="175" spans="1:9" x14ac:dyDescent="0.2">
      <c r="A175" s="5">
        <v>274</v>
      </c>
      <c r="B175" s="19" t="s">
        <v>1</v>
      </c>
      <c r="C175" s="13" t="s">
        <v>27</v>
      </c>
      <c r="D175" s="5" t="s">
        <v>12</v>
      </c>
      <c r="E175" s="6">
        <v>45683</v>
      </c>
      <c r="F175" s="16">
        <v>24</v>
      </c>
      <c r="G175" s="11">
        <v>45687</v>
      </c>
      <c r="H175" s="7" t="s">
        <v>29</v>
      </c>
      <c r="I175" t="s">
        <v>62</v>
      </c>
    </row>
    <row r="176" spans="1:9" x14ac:dyDescent="0.2">
      <c r="A176" s="3">
        <v>275</v>
      </c>
      <c r="B176" s="18" t="s">
        <v>4</v>
      </c>
      <c r="C176" s="12" t="s">
        <v>24</v>
      </c>
      <c r="D176" s="3" t="s">
        <v>12</v>
      </c>
      <c r="E176" s="4">
        <v>45688</v>
      </c>
      <c r="F176" s="15">
        <v>48</v>
      </c>
      <c r="G176" s="4">
        <v>45691</v>
      </c>
      <c r="H176" s="14" t="s">
        <v>29</v>
      </c>
      <c r="I176" t="s">
        <v>62</v>
      </c>
    </row>
    <row r="177" spans="1:9" x14ac:dyDescent="0.2">
      <c r="A177" s="5">
        <v>276</v>
      </c>
      <c r="B177" s="19" t="s">
        <v>21</v>
      </c>
      <c r="C177" s="13" t="s">
        <v>27</v>
      </c>
      <c r="D177" s="5" t="s">
        <v>14</v>
      </c>
      <c r="E177" s="6">
        <v>45669</v>
      </c>
      <c r="F177" s="16">
        <v>48</v>
      </c>
      <c r="G177" s="11">
        <v>45674</v>
      </c>
      <c r="H177" s="7" t="s">
        <v>29</v>
      </c>
      <c r="I177" t="s">
        <v>62</v>
      </c>
    </row>
    <row r="178" spans="1:9" x14ac:dyDescent="0.2">
      <c r="A178" s="3">
        <v>277</v>
      </c>
      <c r="B178" s="18" t="s">
        <v>4</v>
      </c>
      <c r="C178" s="12" t="s">
        <v>28</v>
      </c>
      <c r="D178" s="3" t="s">
        <v>12</v>
      </c>
      <c r="E178" s="4">
        <v>45665</v>
      </c>
      <c r="F178" s="15">
        <v>72</v>
      </c>
      <c r="G178" s="4">
        <v>45666</v>
      </c>
      <c r="H178" s="14" t="s">
        <v>30</v>
      </c>
      <c r="I178" t="s">
        <v>62</v>
      </c>
    </row>
    <row r="179" spans="1:9" x14ac:dyDescent="0.2">
      <c r="A179" s="5">
        <v>278</v>
      </c>
      <c r="B179" s="19" t="s">
        <v>2</v>
      </c>
      <c r="C179" s="13" t="s">
        <v>27</v>
      </c>
      <c r="D179" s="5" t="s">
        <v>14</v>
      </c>
      <c r="E179" s="6">
        <v>45660</v>
      </c>
      <c r="F179" s="16">
        <v>72</v>
      </c>
      <c r="G179" s="11">
        <v>45667</v>
      </c>
      <c r="H179" s="7" t="s">
        <v>29</v>
      </c>
      <c r="I179" t="s">
        <v>63</v>
      </c>
    </row>
    <row r="180" spans="1:9" x14ac:dyDescent="0.2">
      <c r="A180" s="3">
        <v>279</v>
      </c>
      <c r="B180" s="18" t="s">
        <v>3</v>
      </c>
      <c r="C180" s="12" t="s">
        <v>24</v>
      </c>
      <c r="D180" s="3" t="s">
        <v>13</v>
      </c>
      <c r="E180" s="4">
        <v>45676</v>
      </c>
      <c r="F180" s="15">
        <v>24</v>
      </c>
      <c r="G180" s="4">
        <v>45680</v>
      </c>
      <c r="H180" s="14" t="s">
        <v>29</v>
      </c>
      <c r="I180" t="s">
        <v>62</v>
      </c>
    </row>
    <row r="181" spans="1:9" x14ac:dyDescent="0.2">
      <c r="A181" s="5">
        <v>280</v>
      </c>
      <c r="B181" s="19" t="s">
        <v>1</v>
      </c>
      <c r="C181" s="13" t="s">
        <v>28</v>
      </c>
      <c r="D181" s="5" t="s">
        <v>12</v>
      </c>
      <c r="E181" s="6">
        <v>45668</v>
      </c>
      <c r="F181" s="16">
        <v>24</v>
      </c>
      <c r="G181" s="11">
        <v>45671</v>
      </c>
      <c r="H181" s="7" t="s">
        <v>29</v>
      </c>
      <c r="I181" t="s">
        <v>62</v>
      </c>
    </row>
    <row r="182" spans="1:9" x14ac:dyDescent="0.2">
      <c r="A182" s="3">
        <v>281</v>
      </c>
      <c r="B182" s="18" t="s">
        <v>23</v>
      </c>
      <c r="C182" s="12" t="s">
        <v>27</v>
      </c>
      <c r="D182" s="3" t="s">
        <v>13</v>
      </c>
      <c r="E182" s="4">
        <v>45669</v>
      </c>
      <c r="F182" s="15">
        <v>72</v>
      </c>
      <c r="G182" s="4">
        <v>45672</v>
      </c>
      <c r="H182" s="14" t="s">
        <v>30</v>
      </c>
      <c r="I182" t="s">
        <v>62</v>
      </c>
    </row>
    <row r="183" spans="1:9" x14ac:dyDescent="0.2">
      <c r="A183" s="5">
        <v>282</v>
      </c>
      <c r="B183" s="19" t="s">
        <v>1</v>
      </c>
      <c r="C183" s="13" t="s">
        <v>24</v>
      </c>
      <c r="D183" s="5" t="s">
        <v>13</v>
      </c>
      <c r="E183" s="6">
        <v>45681</v>
      </c>
      <c r="F183" s="16">
        <v>72</v>
      </c>
      <c r="G183" s="11">
        <v>45684</v>
      </c>
      <c r="H183" s="7" t="s">
        <v>30</v>
      </c>
      <c r="I183" t="s">
        <v>62</v>
      </c>
    </row>
    <row r="184" spans="1:9" x14ac:dyDescent="0.2">
      <c r="A184" s="3">
        <v>283</v>
      </c>
      <c r="B184" s="18" t="s">
        <v>21</v>
      </c>
      <c r="C184" s="12" t="s">
        <v>24</v>
      </c>
      <c r="D184" s="3" t="s">
        <v>13</v>
      </c>
      <c r="E184" s="4">
        <v>45663</v>
      </c>
      <c r="F184" s="15">
        <v>72</v>
      </c>
      <c r="G184" s="4">
        <v>45665</v>
      </c>
      <c r="H184" s="14" t="s">
        <v>30</v>
      </c>
      <c r="I184" t="s">
        <v>62</v>
      </c>
    </row>
    <row r="185" spans="1:9" x14ac:dyDescent="0.2">
      <c r="A185" s="5">
        <v>284</v>
      </c>
      <c r="B185" s="19" t="s">
        <v>22</v>
      </c>
      <c r="C185" s="13" t="s">
        <v>24</v>
      </c>
      <c r="D185" s="5" t="s">
        <v>13</v>
      </c>
      <c r="E185" s="6">
        <v>45659</v>
      </c>
      <c r="F185" s="16">
        <v>72</v>
      </c>
      <c r="G185" s="11">
        <v>45665</v>
      </c>
      <c r="H185" s="7" t="s">
        <v>29</v>
      </c>
      <c r="I185" t="s">
        <v>62</v>
      </c>
    </row>
    <row r="186" spans="1:9" x14ac:dyDescent="0.2">
      <c r="A186" s="3">
        <v>285</v>
      </c>
      <c r="B186" s="18" t="s">
        <v>3</v>
      </c>
      <c r="C186" s="12" t="s">
        <v>24</v>
      </c>
      <c r="D186" s="3" t="s">
        <v>14</v>
      </c>
      <c r="E186" s="4">
        <v>45659</v>
      </c>
      <c r="F186" s="15">
        <v>48</v>
      </c>
      <c r="G186" s="4">
        <v>45662</v>
      </c>
      <c r="H186" s="14" t="s">
        <v>29</v>
      </c>
      <c r="I186" t="s">
        <v>62</v>
      </c>
    </row>
    <row r="187" spans="1:9" x14ac:dyDescent="0.2">
      <c r="A187" s="5">
        <v>286</v>
      </c>
      <c r="B187" s="19" t="s">
        <v>1</v>
      </c>
      <c r="C187" s="13" t="s">
        <v>28</v>
      </c>
      <c r="D187" s="5" t="s">
        <v>12</v>
      </c>
      <c r="E187" s="6">
        <v>45671</v>
      </c>
      <c r="F187" s="16">
        <v>24</v>
      </c>
      <c r="G187" s="11">
        <v>45673</v>
      </c>
      <c r="H187" s="7" t="s">
        <v>29</v>
      </c>
      <c r="I187" t="s">
        <v>62</v>
      </c>
    </row>
    <row r="188" spans="1:9" ht="27.75" x14ac:dyDescent="0.2">
      <c r="A188" s="3">
        <v>287</v>
      </c>
      <c r="B188" s="18" t="s">
        <v>21</v>
      </c>
      <c r="C188" s="12" t="s">
        <v>26</v>
      </c>
      <c r="D188" s="3" t="s">
        <v>13</v>
      </c>
      <c r="E188" s="4">
        <v>45660</v>
      </c>
      <c r="F188" s="15">
        <v>72</v>
      </c>
      <c r="G188" s="4">
        <v>45664</v>
      </c>
      <c r="H188" s="14" t="s">
        <v>29</v>
      </c>
      <c r="I188" t="s">
        <v>62</v>
      </c>
    </row>
    <row r="189" spans="1:9" ht="27.75" x14ac:dyDescent="0.2">
      <c r="A189" s="5">
        <v>288</v>
      </c>
      <c r="B189" s="19" t="s">
        <v>21</v>
      </c>
      <c r="C189" s="13" t="s">
        <v>25</v>
      </c>
      <c r="D189" s="5" t="s">
        <v>12</v>
      </c>
      <c r="E189" s="6">
        <v>45680</v>
      </c>
      <c r="F189" s="16">
        <v>48</v>
      </c>
      <c r="G189" s="11">
        <v>45682</v>
      </c>
      <c r="H189" s="7" t="s">
        <v>30</v>
      </c>
      <c r="I189" t="s">
        <v>62</v>
      </c>
    </row>
    <row r="190" spans="1:9" ht="27.75" x14ac:dyDescent="0.2">
      <c r="A190" s="3">
        <v>289</v>
      </c>
      <c r="B190" s="18" t="s">
        <v>20</v>
      </c>
      <c r="C190" s="12" t="s">
        <v>26</v>
      </c>
      <c r="D190" s="3" t="s">
        <v>14</v>
      </c>
      <c r="E190" s="4">
        <v>45683</v>
      </c>
      <c r="F190" s="15">
        <v>72</v>
      </c>
      <c r="G190" s="4">
        <v>45690</v>
      </c>
      <c r="H190" s="14" t="s">
        <v>29</v>
      </c>
      <c r="I190" t="s">
        <v>62</v>
      </c>
    </row>
    <row r="191" spans="1:9" ht="27.75" x14ac:dyDescent="0.2">
      <c r="A191" s="5">
        <v>290</v>
      </c>
      <c r="B191" s="19" t="s">
        <v>4</v>
      </c>
      <c r="C191" s="13" t="s">
        <v>26</v>
      </c>
      <c r="D191" s="5" t="s">
        <v>12</v>
      </c>
      <c r="E191" s="6">
        <v>45672</v>
      </c>
      <c r="F191" s="16">
        <v>72</v>
      </c>
      <c r="G191" s="11">
        <v>45674</v>
      </c>
      <c r="H191" s="7" t="s">
        <v>30</v>
      </c>
      <c r="I191" t="s">
        <v>62</v>
      </c>
    </row>
    <row r="192" spans="1:9" x14ac:dyDescent="0.2">
      <c r="A192" s="3">
        <v>291</v>
      </c>
      <c r="B192" s="18" t="s">
        <v>4</v>
      </c>
      <c r="C192" s="12" t="s">
        <v>24</v>
      </c>
      <c r="D192" s="3" t="s">
        <v>13</v>
      </c>
      <c r="E192" s="4">
        <v>45660</v>
      </c>
      <c r="F192" s="15">
        <v>48</v>
      </c>
      <c r="G192" s="4">
        <v>45662</v>
      </c>
      <c r="H192" s="14" t="s">
        <v>30</v>
      </c>
      <c r="I192" t="s">
        <v>62</v>
      </c>
    </row>
    <row r="193" spans="1:9" ht="27.75" x14ac:dyDescent="0.2">
      <c r="A193" s="5">
        <v>292</v>
      </c>
      <c r="B193" s="19" t="s">
        <v>21</v>
      </c>
      <c r="C193" s="13" t="s">
        <v>25</v>
      </c>
      <c r="D193" s="5" t="s">
        <v>13</v>
      </c>
      <c r="E193" s="6">
        <v>45665</v>
      </c>
      <c r="F193" s="16">
        <v>72</v>
      </c>
      <c r="G193" s="11">
        <v>45666</v>
      </c>
      <c r="H193" s="7" t="s">
        <v>30</v>
      </c>
      <c r="I193" t="s">
        <v>62</v>
      </c>
    </row>
    <row r="194" spans="1:9" x14ac:dyDescent="0.2">
      <c r="A194" s="3">
        <v>293</v>
      </c>
      <c r="B194" s="18" t="s">
        <v>21</v>
      </c>
      <c r="C194" s="12" t="s">
        <v>27</v>
      </c>
      <c r="D194" s="3" t="s">
        <v>14</v>
      </c>
      <c r="E194" s="4">
        <v>45672</v>
      </c>
      <c r="F194" s="15">
        <v>72</v>
      </c>
      <c r="G194" s="4">
        <v>45678</v>
      </c>
      <c r="H194" s="14" t="s">
        <v>29</v>
      </c>
      <c r="I194" t="s">
        <v>62</v>
      </c>
    </row>
    <row r="195" spans="1:9" x14ac:dyDescent="0.2">
      <c r="A195" s="5">
        <v>294</v>
      </c>
      <c r="B195" s="19" t="s">
        <v>1</v>
      </c>
      <c r="C195" s="13" t="s">
        <v>27</v>
      </c>
      <c r="D195" s="5" t="s">
        <v>12</v>
      </c>
      <c r="E195" s="6">
        <v>45669</v>
      </c>
      <c r="F195" s="16">
        <v>24</v>
      </c>
      <c r="G195" s="11">
        <v>45673</v>
      </c>
      <c r="H195" s="7" t="s">
        <v>29</v>
      </c>
      <c r="I195" t="s">
        <v>62</v>
      </c>
    </row>
    <row r="196" spans="1:9" x14ac:dyDescent="0.2">
      <c r="A196" s="3">
        <v>295</v>
      </c>
      <c r="B196" s="18" t="s">
        <v>4</v>
      </c>
      <c r="C196" s="12" t="s">
        <v>28</v>
      </c>
      <c r="D196" s="3" t="s">
        <v>12</v>
      </c>
      <c r="E196" s="4">
        <v>45676</v>
      </c>
      <c r="F196" s="15">
        <v>48</v>
      </c>
      <c r="G196" s="4">
        <v>45678</v>
      </c>
      <c r="H196" s="14" t="s">
        <v>30</v>
      </c>
      <c r="I196" t="s">
        <v>62</v>
      </c>
    </row>
    <row r="197" spans="1:9" x14ac:dyDescent="0.2">
      <c r="A197" s="5">
        <v>296</v>
      </c>
      <c r="B197" s="19" t="s">
        <v>22</v>
      </c>
      <c r="C197" s="13" t="s">
        <v>27</v>
      </c>
      <c r="D197" s="5" t="s">
        <v>12</v>
      </c>
      <c r="E197" s="6">
        <v>45673</v>
      </c>
      <c r="F197" s="16">
        <v>48</v>
      </c>
      <c r="G197" s="11">
        <v>45680</v>
      </c>
      <c r="H197" s="7" t="s">
        <v>29</v>
      </c>
      <c r="I197" t="s">
        <v>62</v>
      </c>
    </row>
    <row r="198" spans="1:9" ht="27.75" x14ac:dyDescent="0.2">
      <c r="A198" s="3">
        <v>297</v>
      </c>
      <c r="B198" s="18" t="s">
        <v>2</v>
      </c>
      <c r="C198" s="12" t="s">
        <v>26</v>
      </c>
      <c r="D198" s="3" t="s">
        <v>14</v>
      </c>
      <c r="E198" s="4">
        <v>45684</v>
      </c>
      <c r="F198" s="15">
        <v>48</v>
      </c>
      <c r="G198" s="4">
        <v>45689</v>
      </c>
      <c r="H198" s="14" t="s">
        <v>29</v>
      </c>
      <c r="I198" t="s">
        <v>63</v>
      </c>
    </row>
    <row r="199" spans="1:9" x14ac:dyDescent="0.2">
      <c r="A199" s="5">
        <v>298</v>
      </c>
      <c r="B199" s="19" t="s">
        <v>4</v>
      </c>
      <c r="C199" s="13" t="s">
        <v>28</v>
      </c>
      <c r="D199" s="5" t="s">
        <v>12</v>
      </c>
      <c r="E199" s="6">
        <v>45681</v>
      </c>
      <c r="F199" s="16">
        <v>72</v>
      </c>
      <c r="G199" s="11">
        <v>45686</v>
      </c>
      <c r="H199" s="7" t="s">
        <v>29</v>
      </c>
      <c r="I199" t="s">
        <v>62</v>
      </c>
    </row>
    <row r="200" spans="1:9" x14ac:dyDescent="0.2">
      <c r="A200" s="3">
        <v>299</v>
      </c>
      <c r="B200" s="18" t="s">
        <v>20</v>
      </c>
      <c r="C200" s="12" t="s">
        <v>27</v>
      </c>
      <c r="D200" s="3" t="s">
        <v>12</v>
      </c>
      <c r="E200" s="4">
        <v>45674</v>
      </c>
      <c r="F200" s="15">
        <v>48</v>
      </c>
      <c r="G200" s="4">
        <v>45680</v>
      </c>
      <c r="H200" s="14" t="s">
        <v>29</v>
      </c>
      <c r="I200" t="s">
        <v>62</v>
      </c>
    </row>
    <row r="201" spans="1:9" x14ac:dyDescent="0.2">
      <c r="A201" s="5">
        <v>300</v>
      </c>
      <c r="B201" s="19" t="s">
        <v>4</v>
      </c>
      <c r="C201" s="13" t="s">
        <v>27</v>
      </c>
      <c r="D201" s="5" t="s">
        <v>12</v>
      </c>
      <c r="E201" s="6">
        <v>45675</v>
      </c>
      <c r="F201" s="16">
        <v>48</v>
      </c>
      <c r="G201" s="11">
        <v>45676</v>
      </c>
      <c r="H201" s="7" t="s">
        <v>30</v>
      </c>
      <c r="I201" t="s">
        <v>62</v>
      </c>
    </row>
    <row r="202" spans="1:9" x14ac:dyDescent="0.2">
      <c r="A202" s="3">
        <v>301</v>
      </c>
      <c r="B202" s="18" t="s">
        <v>20</v>
      </c>
      <c r="C202" s="12" t="s">
        <v>28</v>
      </c>
      <c r="D202" s="3" t="s">
        <v>12</v>
      </c>
      <c r="E202" s="4">
        <v>45681</v>
      </c>
      <c r="F202" s="15">
        <v>24</v>
      </c>
      <c r="G202" s="4">
        <v>45687</v>
      </c>
      <c r="H202" s="14" t="s">
        <v>29</v>
      </c>
      <c r="I202" t="s">
        <v>62</v>
      </c>
    </row>
    <row r="203" spans="1:9" x14ac:dyDescent="0.2">
      <c r="A203" s="5">
        <v>302</v>
      </c>
      <c r="B203" s="19" t="s">
        <v>3</v>
      </c>
      <c r="C203" s="13" t="s">
        <v>27</v>
      </c>
      <c r="D203" s="5" t="s">
        <v>12</v>
      </c>
      <c r="E203" s="6">
        <v>45670</v>
      </c>
      <c r="F203" s="16">
        <v>72</v>
      </c>
      <c r="G203" s="11">
        <v>45676</v>
      </c>
      <c r="H203" s="7" t="s">
        <v>29</v>
      </c>
      <c r="I203" t="s">
        <v>62</v>
      </c>
    </row>
    <row r="204" spans="1:9" x14ac:dyDescent="0.2">
      <c r="A204" s="3">
        <v>303</v>
      </c>
      <c r="B204" s="18" t="s">
        <v>20</v>
      </c>
      <c r="C204" s="12" t="s">
        <v>28</v>
      </c>
      <c r="D204" s="3" t="s">
        <v>13</v>
      </c>
      <c r="E204" s="4">
        <v>45677</v>
      </c>
      <c r="F204" s="15">
        <v>72</v>
      </c>
      <c r="G204" s="4">
        <v>45684</v>
      </c>
      <c r="H204" s="14" t="s">
        <v>29</v>
      </c>
      <c r="I204" t="s">
        <v>62</v>
      </c>
    </row>
    <row r="205" spans="1:9" ht="27.75" x14ac:dyDescent="0.2">
      <c r="A205" s="5">
        <v>304</v>
      </c>
      <c r="B205" s="19" t="s">
        <v>21</v>
      </c>
      <c r="C205" s="13" t="s">
        <v>26</v>
      </c>
      <c r="D205" s="5" t="s">
        <v>14</v>
      </c>
      <c r="E205" s="6">
        <v>45661</v>
      </c>
      <c r="F205" s="16">
        <v>72</v>
      </c>
      <c r="G205" s="11">
        <v>45667</v>
      </c>
      <c r="H205" s="7" t="s">
        <v>29</v>
      </c>
      <c r="I205" t="s">
        <v>62</v>
      </c>
    </row>
    <row r="206" spans="1:9" x14ac:dyDescent="0.2">
      <c r="A206" s="3">
        <v>305</v>
      </c>
      <c r="B206" s="18" t="s">
        <v>4</v>
      </c>
      <c r="C206" s="12" t="s">
        <v>24</v>
      </c>
      <c r="D206" s="3" t="s">
        <v>12</v>
      </c>
      <c r="E206" s="4">
        <v>45671</v>
      </c>
      <c r="F206" s="15">
        <v>24</v>
      </c>
      <c r="G206" s="4">
        <v>45673</v>
      </c>
      <c r="H206" s="14" t="s">
        <v>29</v>
      </c>
      <c r="I206" t="s">
        <v>62</v>
      </c>
    </row>
    <row r="207" spans="1:9" x14ac:dyDescent="0.2">
      <c r="A207" s="5">
        <v>306</v>
      </c>
      <c r="B207" s="19" t="s">
        <v>22</v>
      </c>
      <c r="C207" s="13" t="s">
        <v>27</v>
      </c>
      <c r="D207" s="5" t="s">
        <v>12</v>
      </c>
      <c r="E207" s="6">
        <v>45675</v>
      </c>
      <c r="F207" s="16">
        <v>48</v>
      </c>
      <c r="G207" s="11">
        <v>45682</v>
      </c>
      <c r="H207" s="7" t="s">
        <v>29</v>
      </c>
      <c r="I207" t="s">
        <v>62</v>
      </c>
    </row>
    <row r="208" spans="1:9" x14ac:dyDescent="0.2">
      <c r="A208" s="3">
        <v>307</v>
      </c>
      <c r="B208" s="18" t="s">
        <v>23</v>
      </c>
      <c r="C208" s="12" t="s">
        <v>28</v>
      </c>
      <c r="D208" s="3" t="s">
        <v>12</v>
      </c>
      <c r="E208" s="4">
        <v>45685</v>
      </c>
      <c r="F208" s="15">
        <v>24</v>
      </c>
      <c r="G208" s="4">
        <v>45685</v>
      </c>
      <c r="H208" s="14" t="s">
        <v>30</v>
      </c>
      <c r="I208" t="s">
        <v>62</v>
      </c>
    </row>
    <row r="209" spans="1:9" x14ac:dyDescent="0.2">
      <c r="A209" s="5">
        <v>308</v>
      </c>
      <c r="B209" s="19" t="s">
        <v>22</v>
      </c>
      <c r="C209" s="13" t="s">
        <v>28</v>
      </c>
      <c r="D209" s="5" t="s">
        <v>13</v>
      </c>
      <c r="E209" s="6">
        <v>45680</v>
      </c>
      <c r="F209" s="16">
        <v>24</v>
      </c>
      <c r="G209" s="11">
        <v>45687</v>
      </c>
      <c r="H209" s="7" t="s">
        <v>29</v>
      </c>
      <c r="I209" t="s">
        <v>62</v>
      </c>
    </row>
    <row r="210" spans="1:9" x14ac:dyDescent="0.2">
      <c r="A210" s="3">
        <v>309</v>
      </c>
      <c r="B210" s="18" t="s">
        <v>20</v>
      </c>
      <c r="C210" s="12" t="s">
        <v>24</v>
      </c>
      <c r="D210" s="3" t="s">
        <v>14</v>
      </c>
      <c r="E210" s="4">
        <v>45668</v>
      </c>
      <c r="F210" s="15">
        <v>48</v>
      </c>
      <c r="G210" s="4">
        <v>45673</v>
      </c>
      <c r="H210" s="14" t="s">
        <v>29</v>
      </c>
      <c r="I210" t="s">
        <v>62</v>
      </c>
    </row>
    <row r="211" spans="1:9" ht="27.75" x14ac:dyDescent="0.2">
      <c r="A211" s="5">
        <v>310</v>
      </c>
      <c r="B211" s="19" t="s">
        <v>4</v>
      </c>
      <c r="C211" s="13" t="s">
        <v>25</v>
      </c>
      <c r="D211" s="5" t="s">
        <v>12</v>
      </c>
      <c r="E211" s="6">
        <v>45671</v>
      </c>
      <c r="F211" s="16">
        <v>72</v>
      </c>
      <c r="G211" s="11">
        <v>45677</v>
      </c>
      <c r="H211" s="7" t="s">
        <v>29</v>
      </c>
      <c r="I211" t="s">
        <v>62</v>
      </c>
    </row>
    <row r="212" spans="1:9" ht="27.75" x14ac:dyDescent="0.2">
      <c r="A212" s="3">
        <v>311</v>
      </c>
      <c r="B212" s="18" t="s">
        <v>23</v>
      </c>
      <c r="C212" s="12" t="s">
        <v>26</v>
      </c>
      <c r="D212" s="3" t="s">
        <v>12</v>
      </c>
      <c r="E212" s="4">
        <v>45664</v>
      </c>
      <c r="F212" s="15">
        <v>72</v>
      </c>
      <c r="G212" s="4">
        <v>45670</v>
      </c>
      <c r="H212" s="14" t="s">
        <v>29</v>
      </c>
      <c r="I212" t="s">
        <v>62</v>
      </c>
    </row>
    <row r="213" spans="1:9" x14ac:dyDescent="0.2">
      <c r="A213" s="5">
        <v>312</v>
      </c>
      <c r="B213" s="19" t="s">
        <v>4</v>
      </c>
      <c r="C213" s="13" t="s">
        <v>28</v>
      </c>
      <c r="D213" s="5" t="s">
        <v>13</v>
      </c>
      <c r="E213" s="6">
        <v>45682</v>
      </c>
      <c r="F213" s="16">
        <v>24</v>
      </c>
      <c r="G213" s="11">
        <v>45684</v>
      </c>
      <c r="H213" s="7" t="s">
        <v>29</v>
      </c>
      <c r="I213" t="s">
        <v>62</v>
      </c>
    </row>
    <row r="214" spans="1:9" x14ac:dyDescent="0.2">
      <c r="A214" s="3">
        <v>313</v>
      </c>
      <c r="B214" s="18" t="s">
        <v>20</v>
      </c>
      <c r="C214" s="12" t="s">
        <v>28</v>
      </c>
      <c r="D214" s="3" t="s">
        <v>13</v>
      </c>
      <c r="E214" s="4">
        <v>45686</v>
      </c>
      <c r="F214" s="15">
        <v>48</v>
      </c>
      <c r="G214" s="4">
        <v>45690</v>
      </c>
      <c r="H214" s="14" t="s">
        <v>29</v>
      </c>
      <c r="I214" t="s">
        <v>62</v>
      </c>
    </row>
    <row r="215" spans="1:9" x14ac:dyDescent="0.2">
      <c r="A215" s="5">
        <v>314</v>
      </c>
      <c r="B215" s="19" t="s">
        <v>21</v>
      </c>
      <c r="C215" s="13" t="s">
        <v>28</v>
      </c>
      <c r="D215" s="5" t="s">
        <v>14</v>
      </c>
      <c r="E215" s="6">
        <v>45669</v>
      </c>
      <c r="F215" s="16">
        <v>48</v>
      </c>
      <c r="G215" s="11">
        <v>45669</v>
      </c>
      <c r="H215" s="7" t="s">
        <v>30</v>
      </c>
      <c r="I215" t="s">
        <v>62</v>
      </c>
    </row>
    <row r="216" spans="1:9" ht="27.75" x14ac:dyDescent="0.2">
      <c r="A216" s="3">
        <v>315</v>
      </c>
      <c r="B216" s="18" t="s">
        <v>1</v>
      </c>
      <c r="C216" s="12" t="s">
        <v>26</v>
      </c>
      <c r="D216" s="3" t="s">
        <v>13</v>
      </c>
      <c r="E216" s="4">
        <v>45677</v>
      </c>
      <c r="F216" s="15">
        <v>48</v>
      </c>
      <c r="G216" s="4">
        <v>45684</v>
      </c>
      <c r="H216" s="14" t="s">
        <v>29</v>
      </c>
      <c r="I216" t="s">
        <v>62</v>
      </c>
    </row>
    <row r="217" spans="1:9" ht="27.75" x14ac:dyDescent="0.2">
      <c r="A217" s="5">
        <v>316</v>
      </c>
      <c r="B217" s="19" t="s">
        <v>21</v>
      </c>
      <c r="C217" s="13" t="s">
        <v>25</v>
      </c>
      <c r="D217" s="5" t="s">
        <v>12</v>
      </c>
      <c r="E217" s="6">
        <v>45662</v>
      </c>
      <c r="F217" s="16">
        <v>24</v>
      </c>
      <c r="G217" s="11">
        <v>45666</v>
      </c>
      <c r="H217" s="7" t="s">
        <v>29</v>
      </c>
      <c r="I217" t="s">
        <v>62</v>
      </c>
    </row>
    <row r="218" spans="1:9" ht="27.75" x14ac:dyDescent="0.2">
      <c r="A218" s="3">
        <v>317</v>
      </c>
      <c r="B218" s="18" t="s">
        <v>3</v>
      </c>
      <c r="C218" s="12" t="s">
        <v>25</v>
      </c>
      <c r="D218" s="3" t="s">
        <v>13</v>
      </c>
      <c r="E218" s="4">
        <v>45685</v>
      </c>
      <c r="F218" s="15">
        <v>48</v>
      </c>
      <c r="G218" s="4">
        <v>45692</v>
      </c>
      <c r="H218" s="14" t="s">
        <v>29</v>
      </c>
      <c r="I218" t="s">
        <v>63</v>
      </c>
    </row>
    <row r="219" spans="1:9" x14ac:dyDescent="0.2">
      <c r="A219" s="5">
        <v>318</v>
      </c>
      <c r="B219" s="19" t="s">
        <v>21</v>
      </c>
      <c r="C219" s="13" t="s">
        <v>24</v>
      </c>
      <c r="D219" s="5" t="s">
        <v>12</v>
      </c>
      <c r="E219" s="6">
        <v>45662</v>
      </c>
      <c r="F219" s="16">
        <v>24</v>
      </c>
      <c r="G219" s="11">
        <v>45669</v>
      </c>
      <c r="H219" s="7" t="s">
        <v>29</v>
      </c>
      <c r="I219" t="s">
        <v>62</v>
      </c>
    </row>
    <row r="220" spans="1:9" x14ac:dyDescent="0.2">
      <c r="A220" s="3">
        <v>319</v>
      </c>
      <c r="B220" s="18" t="s">
        <v>21</v>
      </c>
      <c r="C220" s="12" t="s">
        <v>27</v>
      </c>
      <c r="D220" s="3" t="s">
        <v>12</v>
      </c>
      <c r="E220" s="4">
        <v>45683</v>
      </c>
      <c r="F220" s="15">
        <v>24</v>
      </c>
      <c r="G220" s="4">
        <v>45683</v>
      </c>
      <c r="H220" s="14" t="s">
        <v>30</v>
      </c>
      <c r="I220" t="s">
        <v>62</v>
      </c>
    </row>
    <row r="221" spans="1:9" x14ac:dyDescent="0.2">
      <c r="A221" s="5">
        <v>320</v>
      </c>
      <c r="B221" s="19" t="s">
        <v>4</v>
      </c>
      <c r="C221" s="13" t="s">
        <v>24</v>
      </c>
      <c r="D221" s="5" t="s">
        <v>13</v>
      </c>
      <c r="E221" s="6">
        <v>45662</v>
      </c>
      <c r="F221" s="16">
        <v>72</v>
      </c>
      <c r="G221" s="11">
        <v>45666</v>
      </c>
      <c r="H221" s="7" t="s">
        <v>29</v>
      </c>
      <c r="I221" t="s">
        <v>62</v>
      </c>
    </row>
    <row r="222" spans="1:9" ht="27.75" x14ac:dyDescent="0.2">
      <c r="A222" s="3">
        <v>321</v>
      </c>
      <c r="B222" s="18" t="s">
        <v>1</v>
      </c>
      <c r="C222" s="12" t="s">
        <v>26</v>
      </c>
      <c r="D222" s="3" t="s">
        <v>12</v>
      </c>
      <c r="E222" s="4">
        <v>45680</v>
      </c>
      <c r="F222" s="15">
        <v>72</v>
      </c>
      <c r="G222" s="4">
        <v>45682</v>
      </c>
      <c r="H222" s="14" t="s">
        <v>30</v>
      </c>
      <c r="I222" t="s">
        <v>62</v>
      </c>
    </row>
    <row r="223" spans="1:9" ht="27.75" x14ac:dyDescent="0.2">
      <c r="A223" s="5">
        <v>322</v>
      </c>
      <c r="B223" s="19" t="s">
        <v>1</v>
      </c>
      <c r="C223" s="13" t="s">
        <v>25</v>
      </c>
      <c r="D223" s="5" t="s">
        <v>14</v>
      </c>
      <c r="E223" s="6">
        <v>45670</v>
      </c>
      <c r="F223" s="16">
        <v>72</v>
      </c>
      <c r="G223" s="11">
        <v>45670</v>
      </c>
      <c r="H223" s="7" t="s">
        <v>30</v>
      </c>
      <c r="I223" t="s">
        <v>62</v>
      </c>
    </row>
    <row r="224" spans="1:9" ht="27.75" x14ac:dyDescent="0.2">
      <c r="A224" s="3">
        <v>323</v>
      </c>
      <c r="B224" s="18" t="s">
        <v>2</v>
      </c>
      <c r="C224" s="12" t="s">
        <v>26</v>
      </c>
      <c r="D224" s="3" t="s">
        <v>13</v>
      </c>
      <c r="E224" s="4">
        <v>45661</v>
      </c>
      <c r="F224" s="15">
        <v>48</v>
      </c>
      <c r="G224" s="4">
        <v>45667</v>
      </c>
      <c r="H224" s="14" t="s">
        <v>29</v>
      </c>
      <c r="I224" t="s">
        <v>62</v>
      </c>
    </row>
    <row r="225" spans="1:9" x14ac:dyDescent="0.2">
      <c r="A225" s="5">
        <v>324</v>
      </c>
      <c r="B225" s="19" t="s">
        <v>4</v>
      </c>
      <c r="C225" s="13" t="s">
        <v>27</v>
      </c>
      <c r="D225" s="5" t="s">
        <v>14</v>
      </c>
      <c r="E225" s="6">
        <v>45661</v>
      </c>
      <c r="F225" s="16">
        <v>24</v>
      </c>
      <c r="G225" s="11">
        <v>45667</v>
      </c>
      <c r="H225" s="7" t="s">
        <v>29</v>
      </c>
      <c r="I225" t="s">
        <v>62</v>
      </c>
    </row>
    <row r="226" spans="1:9" x14ac:dyDescent="0.2">
      <c r="A226" s="3">
        <v>325</v>
      </c>
      <c r="B226" s="18" t="s">
        <v>3</v>
      </c>
      <c r="C226" s="12" t="s">
        <v>28</v>
      </c>
      <c r="D226" s="3" t="s">
        <v>14</v>
      </c>
      <c r="E226" s="4">
        <v>45662</v>
      </c>
      <c r="F226" s="15">
        <v>48</v>
      </c>
      <c r="G226" s="4">
        <v>45667</v>
      </c>
      <c r="H226" s="14" t="s">
        <v>29</v>
      </c>
      <c r="I226" t="s">
        <v>63</v>
      </c>
    </row>
    <row r="227" spans="1:9" x14ac:dyDescent="0.2">
      <c r="A227" s="5">
        <v>326</v>
      </c>
      <c r="B227" s="19" t="s">
        <v>4</v>
      </c>
      <c r="C227" s="13" t="s">
        <v>24</v>
      </c>
      <c r="D227" s="5" t="s">
        <v>14</v>
      </c>
      <c r="E227" s="6">
        <v>45661</v>
      </c>
      <c r="F227" s="16">
        <v>24</v>
      </c>
      <c r="G227" s="11">
        <v>45666</v>
      </c>
      <c r="H227" s="7" t="s">
        <v>29</v>
      </c>
      <c r="I227" t="s">
        <v>62</v>
      </c>
    </row>
    <row r="228" spans="1:9" x14ac:dyDescent="0.2">
      <c r="A228" s="3">
        <v>327</v>
      </c>
      <c r="B228" s="18" t="s">
        <v>22</v>
      </c>
      <c r="C228" s="12" t="s">
        <v>24</v>
      </c>
      <c r="D228" s="3" t="s">
        <v>13</v>
      </c>
      <c r="E228" s="4">
        <v>45682</v>
      </c>
      <c r="F228" s="15">
        <v>72</v>
      </c>
      <c r="G228" s="4">
        <v>45687</v>
      </c>
      <c r="H228" s="14" t="s">
        <v>29</v>
      </c>
      <c r="I228" t="s">
        <v>62</v>
      </c>
    </row>
    <row r="229" spans="1:9" x14ac:dyDescent="0.2">
      <c r="A229" s="5">
        <v>328</v>
      </c>
      <c r="B229" s="19" t="s">
        <v>4</v>
      </c>
      <c r="C229" s="13" t="s">
        <v>28</v>
      </c>
      <c r="D229" s="5" t="s">
        <v>14</v>
      </c>
      <c r="E229" s="6">
        <v>45671</v>
      </c>
      <c r="F229" s="16">
        <v>72</v>
      </c>
      <c r="G229" s="11">
        <v>45676</v>
      </c>
      <c r="H229" s="7" t="s">
        <v>29</v>
      </c>
      <c r="I229" t="s">
        <v>62</v>
      </c>
    </row>
    <row r="230" spans="1:9" ht="27.75" x14ac:dyDescent="0.2">
      <c r="A230" s="3">
        <v>329</v>
      </c>
      <c r="B230" s="18" t="s">
        <v>22</v>
      </c>
      <c r="C230" s="12" t="s">
        <v>26</v>
      </c>
      <c r="D230" s="3" t="s">
        <v>12</v>
      </c>
      <c r="E230" s="4">
        <v>45664</v>
      </c>
      <c r="F230" s="15">
        <v>48</v>
      </c>
      <c r="G230" s="4">
        <v>45667</v>
      </c>
      <c r="H230" s="14" t="s">
        <v>29</v>
      </c>
      <c r="I230" t="s">
        <v>62</v>
      </c>
    </row>
    <row r="231" spans="1:9" x14ac:dyDescent="0.2">
      <c r="A231" s="5">
        <v>330</v>
      </c>
      <c r="B231" s="19" t="s">
        <v>21</v>
      </c>
      <c r="C231" s="13" t="s">
        <v>28</v>
      </c>
      <c r="D231" s="5" t="s">
        <v>14</v>
      </c>
      <c r="E231" s="6">
        <v>45687</v>
      </c>
      <c r="F231" s="16">
        <v>72</v>
      </c>
      <c r="G231" s="11">
        <v>45692</v>
      </c>
      <c r="H231" s="7" t="s">
        <v>29</v>
      </c>
      <c r="I231" t="s">
        <v>62</v>
      </c>
    </row>
    <row r="232" spans="1:9" ht="27.75" x14ac:dyDescent="0.2">
      <c r="A232" s="3">
        <v>331</v>
      </c>
      <c r="B232" s="18" t="s">
        <v>23</v>
      </c>
      <c r="C232" s="12" t="s">
        <v>26</v>
      </c>
      <c r="D232" s="3" t="s">
        <v>14</v>
      </c>
      <c r="E232" s="4">
        <v>45682</v>
      </c>
      <c r="F232" s="15">
        <v>24</v>
      </c>
      <c r="G232" s="4">
        <v>45689</v>
      </c>
      <c r="H232" s="14" t="s">
        <v>29</v>
      </c>
      <c r="I232" t="s">
        <v>62</v>
      </c>
    </row>
    <row r="233" spans="1:9" x14ac:dyDescent="0.2">
      <c r="A233" s="5">
        <v>332</v>
      </c>
      <c r="B233" s="19" t="s">
        <v>2</v>
      </c>
      <c r="C233" s="13" t="s">
        <v>24</v>
      </c>
      <c r="D233" s="5" t="s">
        <v>14</v>
      </c>
      <c r="E233" s="6">
        <v>45675</v>
      </c>
      <c r="F233" s="16">
        <v>24</v>
      </c>
      <c r="G233" s="11">
        <v>45680</v>
      </c>
      <c r="H233" s="7" t="s">
        <v>29</v>
      </c>
      <c r="I233" t="s">
        <v>62</v>
      </c>
    </row>
    <row r="234" spans="1:9" x14ac:dyDescent="0.2">
      <c r="A234" s="3">
        <v>333</v>
      </c>
      <c r="B234" s="18" t="s">
        <v>4</v>
      </c>
      <c r="C234" s="12" t="s">
        <v>24</v>
      </c>
      <c r="D234" s="3" t="s">
        <v>14</v>
      </c>
      <c r="E234" s="4">
        <v>45663</v>
      </c>
      <c r="F234" s="15">
        <v>72</v>
      </c>
      <c r="G234" s="4">
        <v>45670</v>
      </c>
      <c r="H234" s="14" t="s">
        <v>29</v>
      </c>
      <c r="I234" t="s">
        <v>62</v>
      </c>
    </row>
    <row r="235" spans="1:9" x14ac:dyDescent="0.2">
      <c r="A235" s="5">
        <v>334</v>
      </c>
      <c r="B235" s="19" t="s">
        <v>23</v>
      </c>
      <c r="C235" s="13" t="s">
        <v>24</v>
      </c>
      <c r="D235" s="5" t="s">
        <v>14</v>
      </c>
      <c r="E235" s="6">
        <v>45661</v>
      </c>
      <c r="F235" s="16">
        <v>48</v>
      </c>
      <c r="G235" s="11">
        <v>45667</v>
      </c>
      <c r="H235" s="7" t="s">
        <v>29</v>
      </c>
      <c r="I235" t="s">
        <v>62</v>
      </c>
    </row>
    <row r="236" spans="1:9" ht="27.75" x14ac:dyDescent="0.2">
      <c r="A236" s="3">
        <v>335</v>
      </c>
      <c r="B236" s="18" t="s">
        <v>1</v>
      </c>
      <c r="C236" s="12" t="s">
        <v>25</v>
      </c>
      <c r="D236" s="3" t="s">
        <v>14</v>
      </c>
      <c r="E236" s="4">
        <v>45665</v>
      </c>
      <c r="F236" s="15">
        <v>72</v>
      </c>
      <c r="G236" s="4">
        <v>45669</v>
      </c>
      <c r="H236" s="14" t="s">
        <v>29</v>
      </c>
      <c r="I236" t="s">
        <v>62</v>
      </c>
    </row>
    <row r="237" spans="1:9" ht="27.75" x14ac:dyDescent="0.2">
      <c r="A237" s="5">
        <v>336</v>
      </c>
      <c r="B237" s="19" t="s">
        <v>20</v>
      </c>
      <c r="C237" s="13" t="s">
        <v>26</v>
      </c>
      <c r="D237" s="5" t="s">
        <v>12</v>
      </c>
      <c r="E237" s="6">
        <v>45660</v>
      </c>
      <c r="F237" s="16">
        <v>48</v>
      </c>
      <c r="G237" s="11">
        <v>45661</v>
      </c>
      <c r="H237" s="7" t="s">
        <v>30</v>
      </c>
      <c r="I237" t="s">
        <v>62</v>
      </c>
    </row>
    <row r="238" spans="1:9" ht="27.75" x14ac:dyDescent="0.2">
      <c r="A238" s="3">
        <v>337</v>
      </c>
      <c r="B238" s="18" t="s">
        <v>21</v>
      </c>
      <c r="C238" s="12" t="s">
        <v>26</v>
      </c>
      <c r="D238" s="3" t="s">
        <v>13</v>
      </c>
      <c r="E238" s="4">
        <v>45668</v>
      </c>
      <c r="F238" s="15">
        <v>72</v>
      </c>
      <c r="G238" s="4">
        <v>45675</v>
      </c>
      <c r="H238" s="14" t="s">
        <v>29</v>
      </c>
      <c r="I238" t="s">
        <v>62</v>
      </c>
    </row>
    <row r="239" spans="1:9" x14ac:dyDescent="0.2">
      <c r="A239" s="5">
        <v>338</v>
      </c>
      <c r="B239" s="19" t="s">
        <v>3</v>
      </c>
      <c r="C239" s="13" t="s">
        <v>27</v>
      </c>
      <c r="D239" s="5" t="s">
        <v>14</v>
      </c>
      <c r="E239" s="6">
        <v>45688</v>
      </c>
      <c r="F239" s="16">
        <v>72</v>
      </c>
      <c r="G239" s="11">
        <v>45691</v>
      </c>
      <c r="H239" s="7" t="s">
        <v>30</v>
      </c>
      <c r="I239" t="s">
        <v>62</v>
      </c>
    </row>
    <row r="240" spans="1:9" x14ac:dyDescent="0.2">
      <c r="A240" s="3">
        <v>339</v>
      </c>
      <c r="B240" s="18" t="s">
        <v>21</v>
      </c>
      <c r="C240" s="12" t="s">
        <v>24</v>
      </c>
      <c r="D240" s="3" t="s">
        <v>12</v>
      </c>
      <c r="E240" s="4">
        <v>45667</v>
      </c>
      <c r="F240" s="15">
        <v>48</v>
      </c>
      <c r="G240" s="4">
        <v>45668</v>
      </c>
      <c r="H240" s="14" t="s">
        <v>30</v>
      </c>
      <c r="I240" t="s">
        <v>62</v>
      </c>
    </row>
    <row r="241" spans="1:9" ht="27.75" x14ac:dyDescent="0.2">
      <c r="A241" s="5">
        <v>340</v>
      </c>
      <c r="B241" s="19" t="s">
        <v>1</v>
      </c>
      <c r="C241" s="13" t="s">
        <v>26</v>
      </c>
      <c r="D241" s="5" t="s">
        <v>12</v>
      </c>
      <c r="E241" s="6">
        <v>45674</v>
      </c>
      <c r="F241" s="16">
        <v>72</v>
      </c>
      <c r="G241" s="11">
        <v>45679</v>
      </c>
      <c r="H241" s="7" t="s">
        <v>29</v>
      </c>
      <c r="I241" t="s">
        <v>63</v>
      </c>
    </row>
    <row r="242" spans="1:9" x14ac:dyDescent="0.2">
      <c r="A242" s="3">
        <v>341</v>
      </c>
      <c r="B242" s="18" t="s">
        <v>4</v>
      </c>
      <c r="C242" s="12" t="s">
        <v>27</v>
      </c>
      <c r="D242" s="3" t="s">
        <v>14</v>
      </c>
      <c r="E242" s="4">
        <v>45678</v>
      </c>
      <c r="F242" s="15">
        <v>48</v>
      </c>
      <c r="G242" s="4">
        <v>45678</v>
      </c>
      <c r="H242" s="14" t="s">
        <v>30</v>
      </c>
      <c r="I242" t="s">
        <v>62</v>
      </c>
    </row>
    <row r="243" spans="1:9" x14ac:dyDescent="0.2">
      <c r="A243" s="5">
        <v>342</v>
      </c>
      <c r="B243" s="19" t="s">
        <v>20</v>
      </c>
      <c r="C243" s="13" t="s">
        <v>24</v>
      </c>
      <c r="D243" s="5" t="s">
        <v>14</v>
      </c>
      <c r="E243" s="6">
        <v>45672</v>
      </c>
      <c r="F243" s="16">
        <v>48</v>
      </c>
      <c r="G243" s="11">
        <v>45678</v>
      </c>
      <c r="H243" s="7" t="s">
        <v>29</v>
      </c>
      <c r="I243" t="s">
        <v>62</v>
      </c>
    </row>
    <row r="244" spans="1:9" ht="27.75" x14ac:dyDescent="0.2">
      <c r="A244" s="3">
        <v>343</v>
      </c>
      <c r="B244" s="18" t="s">
        <v>21</v>
      </c>
      <c r="C244" s="12" t="s">
        <v>25</v>
      </c>
      <c r="D244" s="3" t="s">
        <v>14</v>
      </c>
      <c r="E244" s="4">
        <v>45675</v>
      </c>
      <c r="F244" s="15">
        <v>72</v>
      </c>
      <c r="G244" s="4">
        <v>45682</v>
      </c>
      <c r="H244" s="14" t="s">
        <v>29</v>
      </c>
      <c r="I244" t="s">
        <v>62</v>
      </c>
    </row>
    <row r="245" spans="1:9" x14ac:dyDescent="0.2">
      <c r="A245" s="5">
        <v>344</v>
      </c>
      <c r="B245" s="19" t="s">
        <v>4</v>
      </c>
      <c r="C245" s="13" t="s">
        <v>24</v>
      </c>
      <c r="D245" s="5" t="s">
        <v>14</v>
      </c>
      <c r="E245" s="6">
        <v>45673</v>
      </c>
      <c r="F245" s="16">
        <v>48</v>
      </c>
      <c r="G245" s="11">
        <v>45680</v>
      </c>
      <c r="H245" s="7" t="s">
        <v>29</v>
      </c>
      <c r="I245" t="s">
        <v>62</v>
      </c>
    </row>
    <row r="246" spans="1:9" x14ac:dyDescent="0.2">
      <c r="A246" s="3">
        <v>345</v>
      </c>
      <c r="B246" s="18" t="s">
        <v>4</v>
      </c>
      <c r="C246" s="12" t="s">
        <v>24</v>
      </c>
      <c r="D246" s="3" t="s">
        <v>13</v>
      </c>
      <c r="E246" s="4">
        <v>45663</v>
      </c>
      <c r="F246" s="15">
        <v>24</v>
      </c>
      <c r="G246" s="4">
        <v>45666</v>
      </c>
      <c r="H246" s="14" t="s">
        <v>29</v>
      </c>
      <c r="I246" t="s">
        <v>62</v>
      </c>
    </row>
    <row r="247" spans="1:9" x14ac:dyDescent="0.2">
      <c r="A247" s="5">
        <v>346</v>
      </c>
      <c r="B247" s="19" t="s">
        <v>1</v>
      </c>
      <c r="C247" s="13" t="s">
        <v>24</v>
      </c>
      <c r="D247" s="5" t="s">
        <v>13</v>
      </c>
      <c r="E247" s="6">
        <v>45674</v>
      </c>
      <c r="F247" s="16">
        <v>48</v>
      </c>
      <c r="G247" s="11">
        <v>45680</v>
      </c>
      <c r="H247" s="7" t="s">
        <v>29</v>
      </c>
      <c r="I247" t="s">
        <v>62</v>
      </c>
    </row>
    <row r="248" spans="1:9" ht="27.75" x14ac:dyDescent="0.2">
      <c r="A248" s="3">
        <v>347</v>
      </c>
      <c r="B248" s="18" t="s">
        <v>2</v>
      </c>
      <c r="C248" s="12" t="s">
        <v>26</v>
      </c>
      <c r="D248" s="3" t="s">
        <v>14</v>
      </c>
      <c r="E248" s="4">
        <v>45676</v>
      </c>
      <c r="F248" s="15">
        <v>48</v>
      </c>
      <c r="G248" s="4">
        <v>45679</v>
      </c>
      <c r="H248" s="14" t="s">
        <v>29</v>
      </c>
      <c r="I248" t="s">
        <v>62</v>
      </c>
    </row>
    <row r="249" spans="1:9" ht="27.75" x14ac:dyDescent="0.2">
      <c r="A249" s="5">
        <v>348</v>
      </c>
      <c r="B249" s="19" t="s">
        <v>23</v>
      </c>
      <c r="C249" s="13" t="s">
        <v>25</v>
      </c>
      <c r="D249" s="5" t="s">
        <v>14</v>
      </c>
      <c r="E249" s="6">
        <v>45677</v>
      </c>
      <c r="F249" s="16">
        <v>48</v>
      </c>
      <c r="G249" s="11">
        <v>45679</v>
      </c>
      <c r="H249" s="7" t="s">
        <v>30</v>
      </c>
      <c r="I249" t="s">
        <v>63</v>
      </c>
    </row>
    <row r="250" spans="1:9" ht="27.75" x14ac:dyDescent="0.2">
      <c r="A250" s="3">
        <v>349</v>
      </c>
      <c r="B250" s="18" t="s">
        <v>1</v>
      </c>
      <c r="C250" s="12" t="s">
        <v>26</v>
      </c>
      <c r="D250" s="3" t="s">
        <v>12</v>
      </c>
      <c r="E250" s="4">
        <v>45660</v>
      </c>
      <c r="F250" s="15">
        <v>24</v>
      </c>
      <c r="G250" s="4">
        <v>45665</v>
      </c>
      <c r="H250" s="14" t="s">
        <v>29</v>
      </c>
      <c r="I250" t="s">
        <v>62</v>
      </c>
    </row>
    <row r="251" spans="1:9" ht="27.75" x14ac:dyDescent="0.2">
      <c r="A251" s="5">
        <v>350</v>
      </c>
      <c r="B251" s="19" t="s">
        <v>1</v>
      </c>
      <c r="C251" s="13" t="s">
        <v>25</v>
      </c>
      <c r="D251" s="5" t="s">
        <v>13</v>
      </c>
      <c r="E251" s="6">
        <v>45671</v>
      </c>
      <c r="F251" s="16">
        <v>24</v>
      </c>
      <c r="G251" s="11">
        <v>45674</v>
      </c>
      <c r="H251" s="7" t="s">
        <v>29</v>
      </c>
      <c r="I251" t="s">
        <v>62</v>
      </c>
    </row>
    <row r="252" spans="1:9" x14ac:dyDescent="0.2">
      <c r="A252" s="3">
        <v>351</v>
      </c>
      <c r="B252" s="18" t="s">
        <v>20</v>
      </c>
      <c r="C252" s="12" t="s">
        <v>27</v>
      </c>
      <c r="D252" s="3" t="s">
        <v>14</v>
      </c>
      <c r="E252" s="4">
        <v>45660</v>
      </c>
      <c r="F252" s="15">
        <v>48</v>
      </c>
      <c r="G252" s="4">
        <v>45660</v>
      </c>
      <c r="H252" s="14" t="s">
        <v>30</v>
      </c>
      <c r="I252" t="s">
        <v>62</v>
      </c>
    </row>
    <row r="253" spans="1:9" x14ac:dyDescent="0.2">
      <c r="A253" s="5">
        <v>352</v>
      </c>
      <c r="B253" s="19" t="s">
        <v>1</v>
      </c>
      <c r="C253" s="13" t="s">
        <v>24</v>
      </c>
      <c r="D253" s="5" t="s">
        <v>14</v>
      </c>
      <c r="E253" s="6">
        <v>45661</v>
      </c>
      <c r="F253" s="16">
        <v>24</v>
      </c>
      <c r="G253" s="11">
        <v>45661</v>
      </c>
      <c r="H253" s="7" t="s">
        <v>30</v>
      </c>
      <c r="I253" t="s">
        <v>62</v>
      </c>
    </row>
    <row r="254" spans="1:9" x14ac:dyDescent="0.2">
      <c r="A254" s="3">
        <v>353</v>
      </c>
      <c r="B254" s="18" t="s">
        <v>2</v>
      </c>
      <c r="C254" s="12" t="s">
        <v>28</v>
      </c>
      <c r="D254" s="3" t="s">
        <v>12</v>
      </c>
      <c r="E254" s="4">
        <v>45674</v>
      </c>
      <c r="F254" s="15">
        <v>24</v>
      </c>
      <c r="G254" s="4">
        <v>45678</v>
      </c>
      <c r="H254" s="14" t="s">
        <v>29</v>
      </c>
      <c r="I254" t="s">
        <v>62</v>
      </c>
    </row>
    <row r="255" spans="1:9" x14ac:dyDescent="0.2">
      <c r="A255" s="5">
        <v>354</v>
      </c>
      <c r="B255" s="19" t="s">
        <v>4</v>
      </c>
      <c r="C255" s="13" t="s">
        <v>28</v>
      </c>
      <c r="D255" s="5" t="s">
        <v>12</v>
      </c>
      <c r="E255" s="6">
        <v>45672</v>
      </c>
      <c r="F255" s="16">
        <v>48</v>
      </c>
      <c r="G255" s="11">
        <v>45679</v>
      </c>
      <c r="H255" s="7" t="s">
        <v>29</v>
      </c>
      <c r="I255" t="s">
        <v>62</v>
      </c>
    </row>
    <row r="256" spans="1:9" ht="27.75" x14ac:dyDescent="0.2">
      <c r="A256" s="3">
        <v>355</v>
      </c>
      <c r="B256" s="18" t="s">
        <v>21</v>
      </c>
      <c r="C256" s="12" t="s">
        <v>25</v>
      </c>
      <c r="D256" s="3" t="s">
        <v>12</v>
      </c>
      <c r="E256" s="4">
        <v>45677</v>
      </c>
      <c r="F256" s="15">
        <v>24</v>
      </c>
      <c r="G256" s="4">
        <v>45682</v>
      </c>
      <c r="H256" s="14" t="s">
        <v>29</v>
      </c>
      <c r="I256" t="s">
        <v>62</v>
      </c>
    </row>
    <row r="257" spans="1:9" x14ac:dyDescent="0.2">
      <c r="A257" s="5">
        <v>356</v>
      </c>
      <c r="B257" s="19" t="s">
        <v>22</v>
      </c>
      <c r="C257" s="13" t="s">
        <v>24</v>
      </c>
      <c r="D257" s="5" t="s">
        <v>14</v>
      </c>
      <c r="E257" s="6">
        <v>45661</v>
      </c>
      <c r="F257" s="16">
        <v>72</v>
      </c>
      <c r="G257" s="11">
        <v>45663</v>
      </c>
      <c r="H257" s="7" t="s">
        <v>30</v>
      </c>
      <c r="I257" t="s">
        <v>62</v>
      </c>
    </row>
    <row r="258" spans="1:9" x14ac:dyDescent="0.2">
      <c r="A258" s="3">
        <v>357</v>
      </c>
      <c r="B258" s="18" t="s">
        <v>23</v>
      </c>
      <c r="C258" s="12" t="s">
        <v>27</v>
      </c>
      <c r="D258" s="3" t="s">
        <v>13</v>
      </c>
      <c r="E258" s="4">
        <v>45686</v>
      </c>
      <c r="F258" s="15">
        <v>24</v>
      </c>
      <c r="G258" s="4">
        <v>45691</v>
      </c>
      <c r="H258" s="14" t="s">
        <v>29</v>
      </c>
      <c r="I258" t="s">
        <v>62</v>
      </c>
    </row>
    <row r="259" spans="1:9" ht="27.75" x14ac:dyDescent="0.2">
      <c r="A259" s="5">
        <v>358</v>
      </c>
      <c r="B259" s="19" t="s">
        <v>20</v>
      </c>
      <c r="C259" s="13" t="s">
        <v>25</v>
      </c>
      <c r="D259" s="5" t="s">
        <v>12</v>
      </c>
      <c r="E259" s="6">
        <v>45684</v>
      </c>
      <c r="F259" s="16">
        <v>48</v>
      </c>
      <c r="G259" s="11">
        <v>45686</v>
      </c>
      <c r="H259" s="7" t="s">
        <v>30</v>
      </c>
      <c r="I259" t="s">
        <v>62</v>
      </c>
    </row>
    <row r="260" spans="1:9" ht="27.75" x14ac:dyDescent="0.2">
      <c r="A260" s="3">
        <v>359</v>
      </c>
      <c r="B260" s="18" t="s">
        <v>2</v>
      </c>
      <c r="C260" s="12" t="s">
        <v>26</v>
      </c>
      <c r="D260" s="3" t="s">
        <v>14</v>
      </c>
      <c r="E260" s="4">
        <v>45680</v>
      </c>
      <c r="F260" s="15">
        <v>48</v>
      </c>
      <c r="G260" s="4">
        <v>45684</v>
      </c>
      <c r="H260" s="14" t="s">
        <v>29</v>
      </c>
      <c r="I260" t="s">
        <v>62</v>
      </c>
    </row>
    <row r="261" spans="1:9" x14ac:dyDescent="0.2">
      <c r="A261" s="5">
        <v>360</v>
      </c>
      <c r="B261" s="19" t="s">
        <v>3</v>
      </c>
      <c r="C261" s="13" t="s">
        <v>27</v>
      </c>
      <c r="D261" s="5" t="s">
        <v>12</v>
      </c>
      <c r="E261" s="6">
        <v>45662</v>
      </c>
      <c r="F261" s="16">
        <v>72</v>
      </c>
      <c r="G261" s="11">
        <v>45662</v>
      </c>
      <c r="H261" s="7" t="s">
        <v>30</v>
      </c>
      <c r="I261" t="s">
        <v>62</v>
      </c>
    </row>
    <row r="262" spans="1:9" x14ac:dyDescent="0.2">
      <c r="A262" s="3">
        <v>361</v>
      </c>
      <c r="B262" s="18" t="s">
        <v>3</v>
      </c>
      <c r="C262" s="12" t="s">
        <v>28</v>
      </c>
      <c r="D262" s="3" t="s">
        <v>13</v>
      </c>
      <c r="E262" s="4">
        <v>45677</v>
      </c>
      <c r="F262" s="15">
        <v>24</v>
      </c>
      <c r="G262" s="4">
        <v>45680</v>
      </c>
      <c r="H262" s="14" t="s">
        <v>29</v>
      </c>
      <c r="I262" t="s">
        <v>62</v>
      </c>
    </row>
    <row r="263" spans="1:9" x14ac:dyDescent="0.2">
      <c r="A263" s="5">
        <v>362</v>
      </c>
      <c r="B263" s="19" t="s">
        <v>23</v>
      </c>
      <c r="C263" s="13" t="s">
        <v>28</v>
      </c>
      <c r="D263" s="5" t="s">
        <v>14</v>
      </c>
      <c r="E263" s="6">
        <v>45687</v>
      </c>
      <c r="F263" s="16">
        <v>48</v>
      </c>
      <c r="G263" s="11">
        <v>45691</v>
      </c>
      <c r="H263" s="7" t="s">
        <v>29</v>
      </c>
      <c r="I263" t="s">
        <v>62</v>
      </c>
    </row>
    <row r="264" spans="1:9" x14ac:dyDescent="0.2">
      <c r="A264" s="3">
        <v>363</v>
      </c>
      <c r="B264" s="18" t="s">
        <v>1</v>
      </c>
      <c r="C264" s="12" t="s">
        <v>28</v>
      </c>
      <c r="D264" s="3" t="s">
        <v>12</v>
      </c>
      <c r="E264" s="4">
        <v>45667</v>
      </c>
      <c r="F264" s="15">
        <v>72</v>
      </c>
      <c r="G264" s="4">
        <v>45673</v>
      </c>
      <c r="H264" s="14" t="s">
        <v>29</v>
      </c>
      <c r="I264" t="s">
        <v>62</v>
      </c>
    </row>
    <row r="265" spans="1:9" x14ac:dyDescent="0.2">
      <c r="A265" s="5">
        <v>364</v>
      </c>
      <c r="B265" s="19" t="s">
        <v>2</v>
      </c>
      <c r="C265" s="13" t="s">
        <v>24</v>
      </c>
      <c r="D265" s="5" t="s">
        <v>14</v>
      </c>
      <c r="E265" s="6">
        <v>45666</v>
      </c>
      <c r="F265" s="16">
        <v>24</v>
      </c>
      <c r="G265" s="11">
        <v>45668</v>
      </c>
      <c r="H265" s="7" t="s">
        <v>29</v>
      </c>
      <c r="I265" t="s">
        <v>62</v>
      </c>
    </row>
    <row r="266" spans="1:9" x14ac:dyDescent="0.2">
      <c r="A266" s="3">
        <v>365</v>
      </c>
      <c r="B266" s="18" t="s">
        <v>1</v>
      </c>
      <c r="C266" s="12" t="s">
        <v>28</v>
      </c>
      <c r="D266" s="3" t="s">
        <v>14</v>
      </c>
      <c r="E266" s="4">
        <v>45687</v>
      </c>
      <c r="F266" s="15">
        <v>24</v>
      </c>
      <c r="G266" s="4">
        <v>45692</v>
      </c>
      <c r="H266" s="14" t="s">
        <v>29</v>
      </c>
      <c r="I266" t="s">
        <v>62</v>
      </c>
    </row>
    <row r="267" spans="1:9" x14ac:dyDescent="0.2">
      <c r="A267" s="5">
        <v>366</v>
      </c>
      <c r="B267" s="19" t="s">
        <v>1</v>
      </c>
      <c r="C267" s="13" t="s">
        <v>27</v>
      </c>
      <c r="D267" s="5" t="s">
        <v>14</v>
      </c>
      <c r="E267" s="6">
        <v>45664</v>
      </c>
      <c r="F267" s="16">
        <v>72</v>
      </c>
      <c r="G267" s="11">
        <v>45666</v>
      </c>
      <c r="H267" s="7" t="s">
        <v>30</v>
      </c>
      <c r="I267" t="s">
        <v>62</v>
      </c>
    </row>
    <row r="268" spans="1:9" x14ac:dyDescent="0.2">
      <c r="A268" s="3">
        <v>367</v>
      </c>
      <c r="B268" s="18" t="s">
        <v>1</v>
      </c>
      <c r="C268" s="12" t="s">
        <v>24</v>
      </c>
      <c r="D268" s="3" t="s">
        <v>13</v>
      </c>
      <c r="E268" s="4">
        <v>45676</v>
      </c>
      <c r="F268" s="15">
        <v>48</v>
      </c>
      <c r="G268" s="4">
        <v>45682</v>
      </c>
      <c r="H268" s="14" t="s">
        <v>29</v>
      </c>
      <c r="I268" t="s">
        <v>62</v>
      </c>
    </row>
    <row r="269" spans="1:9" x14ac:dyDescent="0.2">
      <c r="A269" s="5">
        <v>368</v>
      </c>
      <c r="B269" s="19" t="s">
        <v>3</v>
      </c>
      <c r="C269" s="13" t="s">
        <v>28</v>
      </c>
      <c r="D269" s="5" t="s">
        <v>13</v>
      </c>
      <c r="E269" s="6">
        <v>45671</v>
      </c>
      <c r="F269" s="16">
        <v>48</v>
      </c>
      <c r="G269" s="11">
        <v>45673</v>
      </c>
      <c r="H269" s="7" t="s">
        <v>30</v>
      </c>
      <c r="I269" t="s">
        <v>62</v>
      </c>
    </row>
    <row r="270" spans="1:9" ht="27.75" x14ac:dyDescent="0.2">
      <c r="A270" s="3">
        <v>369</v>
      </c>
      <c r="B270" s="18" t="s">
        <v>23</v>
      </c>
      <c r="C270" s="12" t="s">
        <v>25</v>
      </c>
      <c r="D270" s="3" t="s">
        <v>12</v>
      </c>
      <c r="E270" s="4">
        <v>45667</v>
      </c>
      <c r="F270" s="15">
        <v>24</v>
      </c>
      <c r="G270" s="4">
        <v>45672</v>
      </c>
      <c r="H270" s="14" t="s">
        <v>29</v>
      </c>
      <c r="I270" t="s">
        <v>62</v>
      </c>
    </row>
    <row r="271" spans="1:9" ht="27.75" x14ac:dyDescent="0.2">
      <c r="A271" s="5">
        <v>370</v>
      </c>
      <c r="B271" s="19" t="s">
        <v>3</v>
      </c>
      <c r="C271" s="13" t="s">
        <v>26</v>
      </c>
      <c r="D271" s="5" t="s">
        <v>12</v>
      </c>
      <c r="E271" s="6">
        <v>45669</v>
      </c>
      <c r="F271" s="16">
        <v>72</v>
      </c>
      <c r="G271" s="11">
        <v>45671</v>
      </c>
      <c r="H271" s="7" t="s">
        <v>30</v>
      </c>
      <c r="I271" t="s">
        <v>62</v>
      </c>
    </row>
    <row r="272" spans="1:9" x14ac:dyDescent="0.2">
      <c r="A272" s="3">
        <v>371</v>
      </c>
      <c r="B272" s="18" t="s">
        <v>2</v>
      </c>
      <c r="C272" s="12" t="s">
        <v>27</v>
      </c>
      <c r="D272" s="3" t="s">
        <v>14</v>
      </c>
      <c r="E272" s="4">
        <v>45687</v>
      </c>
      <c r="F272" s="15">
        <v>24</v>
      </c>
      <c r="G272" s="4">
        <v>45690</v>
      </c>
      <c r="H272" s="14" t="s">
        <v>29</v>
      </c>
      <c r="I272" t="s">
        <v>62</v>
      </c>
    </row>
    <row r="273" spans="1:9" x14ac:dyDescent="0.2">
      <c r="A273" s="5">
        <v>372</v>
      </c>
      <c r="B273" s="19" t="s">
        <v>22</v>
      </c>
      <c r="C273" s="13" t="s">
        <v>28</v>
      </c>
      <c r="D273" s="5" t="s">
        <v>12</v>
      </c>
      <c r="E273" s="6">
        <v>45682</v>
      </c>
      <c r="F273" s="16">
        <v>72</v>
      </c>
      <c r="G273" s="11">
        <v>45688</v>
      </c>
      <c r="H273" s="7" t="s">
        <v>29</v>
      </c>
      <c r="I273" t="s">
        <v>62</v>
      </c>
    </row>
    <row r="274" spans="1:9" x14ac:dyDescent="0.2">
      <c r="A274" s="3">
        <v>373</v>
      </c>
      <c r="B274" s="18" t="s">
        <v>1</v>
      </c>
      <c r="C274" s="12" t="s">
        <v>27</v>
      </c>
      <c r="D274" s="3" t="s">
        <v>14</v>
      </c>
      <c r="E274" s="4">
        <v>45662</v>
      </c>
      <c r="F274" s="15">
        <v>48</v>
      </c>
      <c r="G274" s="4">
        <v>45668</v>
      </c>
      <c r="H274" s="14" t="s">
        <v>29</v>
      </c>
      <c r="I274" t="s">
        <v>62</v>
      </c>
    </row>
    <row r="275" spans="1:9" ht="27.75" x14ac:dyDescent="0.2">
      <c r="A275" s="5">
        <v>374</v>
      </c>
      <c r="B275" s="19" t="s">
        <v>22</v>
      </c>
      <c r="C275" s="13" t="s">
        <v>25</v>
      </c>
      <c r="D275" s="5" t="s">
        <v>12</v>
      </c>
      <c r="E275" s="6">
        <v>45666</v>
      </c>
      <c r="F275" s="16">
        <v>72</v>
      </c>
      <c r="G275" s="11">
        <v>45672</v>
      </c>
      <c r="H275" s="7" t="s">
        <v>29</v>
      </c>
      <c r="I275" t="s">
        <v>62</v>
      </c>
    </row>
    <row r="276" spans="1:9" x14ac:dyDescent="0.2">
      <c r="A276" s="3">
        <v>375</v>
      </c>
      <c r="B276" s="18" t="s">
        <v>21</v>
      </c>
      <c r="C276" s="12" t="s">
        <v>28</v>
      </c>
      <c r="D276" s="3" t="s">
        <v>13</v>
      </c>
      <c r="E276" s="4">
        <v>45673</v>
      </c>
      <c r="F276" s="15">
        <v>48</v>
      </c>
      <c r="G276" s="4">
        <v>45679</v>
      </c>
      <c r="H276" s="14" t="s">
        <v>29</v>
      </c>
      <c r="I276" t="s">
        <v>62</v>
      </c>
    </row>
    <row r="277" spans="1:9" x14ac:dyDescent="0.2">
      <c r="A277" s="5">
        <v>376</v>
      </c>
      <c r="B277" s="19" t="s">
        <v>4</v>
      </c>
      <c r="C277" s="13" t="s">
        <v>27</v>
      </c>
      <c r="D277" s="5" t="s">
        <v>12</v>
      </c>
      <c r="E277" s="6">
        <v>45688</v>
      </c>
      <c r="F277" s="16">
        <v>24</v>
      </c>
      <c r="G277" s="11">
        <v>45692</v>
      </c>
      <c r="H277" s="7" t="s">
        <v>29</v>
      </c>
      <c r="I277" t="s">
        <v>62</v>
      </c>
    </row>
    <row r="278" spans="1:9" ht="27.75" x14ac:dyDescent="0.2">
      <c r="A278" s="3">
        <v>377</v>
      </c>
      <c r="B278" s="18" t="s">
        <v>4</v>
      </c>
      <c r="C278" s="12" t="s">
        <v>26</v>
      </c>
      <c r="D278" s="3" t="s">
        <v>14</v>
      </c>
      <c r="E278" s="4">
        <v>45684</v>
      </c>
      <c r="F278" s="15">
        <v>72</v>
      </c>
      <c r="G278" s="4">
        <v>45687</v>
      </c>
      <c r="H278" s="14" t="s">
        <v>30</v>
      </c>
      <c r="I278" t="s">
        <v>62</v>
      </c>
    </row>
    <row r="279" spans="1:9" x14ac:dyDescent="0.2">
      <c r="A279" s="5">
        <v>378</v>
      </c>
      <c r="B279" s="19" t="s">
        <v>21</v>
      </c>
      <c r="C279" s="13" t="s">
        <v>24</v>
      </c>
      <c r="D279" s="5" t="s">
        <v>12</v>
      </c>
      <c r="E279" s="6">
        <v>45686</v>
      </c>
      <c r="F279" s="16">
        <v>24</v>
      </c>
      <c r="G279" s="11">
        <v>45693</v>
      </c>
      <c r="H279" s="7" t="s">
        <v>29</v>
      </c>
      <c r="I279" t="s">
        <v>62</v>
      </c>
    </row>
    <row r="280" spans="1:9" x14ac:dyDescent="0.2">
      <c r="A280" s="3">
        <v>379</v>
      </c>
      <c r="B280" s="18" t="s">
        <v>1</v>
      </c>
      <c r="C280" s="12" t="s">
        <v>28</v>
      </c>
      <c r="D280" s="3" t="s">
        <v>13</v>
      </c>
      <c r="E280" s="4">
        <v>45663</v>
      </c>
      <c r="F280" s="15">
        <v>24</v>
      </c>
      <c r="G280" s="4">
        <v>45670</v>
      </c>
      <c r="H280" s="14" t="s">
        <v>29</v>
      </c>
      <c r="I280" t="s">
        <v>62</v>
      </c>
    </row>
    <row r="281" spans="1:9" x14ac:dyDescent="0.2">
      <c r="A281" s="5">
        <v>380</v>
      </c>
      <c r="B281" s="19" t="s">
        <v>21</v>
      </c>
      <c r="C281" s="13" t="s">
        <v>27</v>
      </c>
      <c r="D281" s="5" t="s">
        <v>12</v>
      </c>
      <c r="E281" s="6">
        <v>45659</v>
      </c>
      <c r="F281" s="16">
        <v>72</v>
      </c>
      <c r="G281" s="11">
        <v>45662</v>
      </c>
      <c r="H281" s="7" t="s">
        <v>30</v>
      </c>
      <c r="I281" t="s">
        <v>63</v>
      </c>
    </row>
    <row r="282" spans="1:9" x14ac:dyDescent="0.2">
      <c r="A282" s="3">
        <v>381</v>
      </c>
      <c r="B282" s="18" t="s">
        <v>4</v>
      </c>
      <c r="C282" s="12" t="s">
        <v>28</v>
      </c>
      <c r="D282" s="3" t="s">
        <v>12</v>
      </c>
      <c r="E282" s="4">
        <v>45661</v>
      </c>
      <c r="F282" s="15">
        <v>24</v>
      </c>
      <c r="G282" s="4">
        <v>45666</v>
      </c>
      <c r="H282" s="14" t="s">
        <v>29</v>
      </c>
      <c r="I282" t="s">
        <v>63</v>
      </c>
    </row>
    <row r="283" spans="1:9" x14ac:dyDescent="0.2">
      <c r="A283" s="5">
        <v>382</v>
      </c>
      <c r="B283" s="19" t="s">
        <v>20</v>
      </c>
      <c r="C283" s="13" t="s">
        <v>28</v>
      </c>
      <c r="D283" s="5" t="s">
        <v>12</v>
      </c>
      <c r="E283" s="6">
        <v>45661</v>
      </c>
      <c r="F283" s="16">
        <v>24</v>
      </c>
      <c r="G283" s="11">
        <v>45667</v>
      </c>
      <c r="H283" s="7" t="s">
        <v>29</v>
      </c>
      <c r="I283" t="s">
        <v>62</v>
      </c>
    </row>
    <row r="284" spans="1:9" x14ac:dyDescent="0.2">
      <c r="A284" s="3">
        <v>383</v>
      </c>
      <c r="B284" s="18" t="s">
        <v>23</v>
      </c>
      <c r="C284" s="12" t="s">
        <v>24</v>
      </c>
      <c r="D284" s="3" t="s">
        <v>14</v>
      </c>
      <c r="E284" s="4">
        <v>45688</v>
      </c>
      <c r="F284" s="15">
        <v>48</v>
      </c>
      <c r="G284" s="4">
        <v>45691</v>
      </c>
      <c r="H284" s="14" t="s">
        <v>29</v>
      </c>
      <c r="I284" t="s">
        <v>62</v>
      </c>
    </row>
    <row r="285" spans="1:9" x14ac:dyDescent="0.2">
      <c r="A285" s="5">
        <v>384</v>
      </c>
      <c r="B285" s="19" t="s">
        <v>20</v>
      </c>
      <c r="C285" s="13" t="s">
        <v>27</v>
      </c>
      <c r="D285" s="5" t="s">
        <v>13</v>
      </c>
      <c r="E285" s="6">
        <v>45666</v>
      </c>
      <c r="F285" s="16">
        <v>72</v>
      </c>
      <c r="G285" s="11">
        <v>45673</v>
      </c>
      <c r="H285" s="7" t="s">
        <v>29</v>
      </c>
      <c r="I285" t="s">
        <v>62</v>
      </c>
    </row>
    <row r="286" spans="1:9" ht="27.75" x14ac:dyDescent="0.2">
      <c r="A286" s="3">
        <v>385</v>
      </c>
      <c r="B286" s="18" t="s">
        <v>22</v>
      </c>
      <c r="C286" s="12" t="s">
        <v>26</v>
      </c>
      <c r="D286" s="3" t="s">
        <v>13</v>
      </c>
      <c r="E286" s="4">
        <v>45686</v>
      </c>
      <c r="F286" s="15">
        <v>24</v>
      </c>
      <c r="G286" s="4">
        <v>45692</v>
      </c>
      <c r="H286" s="14" t="s">
        <v>29</v>
      </c>
      <c r="I286" t="s">
        <v>62</v>
      </c>
    </row>
    <row r="287" spans="1:9" ht="27.75" x14ac:dyDescent="0.2">
      <c r="A287" s="5">
        <v>386</v>
      </c>
      <c r="B287" s="19" t="s">
        <v>2</v>
      </c>
      <c r="C287" s="13" t="s">
        <v>26</v>
      </c>
      <c r="D287" s="5" t="s">
        <v>13</v>
      </c>
      <c r="E287" s="6">
        <v>45669</v>
      </c>
      <c r="F287" s="16">
        <v>48</v>
      </c>
      <c r="G287" s="11">
        <v>45674</v>
      </c>
      <c r="H287" s="7" t="s">
        <v>29</v>
      </c>
      <c r="I287" t="s">
        <v>62</v>
      </c>
    </row>
    <row r="288" spans="1:9" x14ac:dyDescent="0.2">
      <c r="A288" s="3">
        <v>387</v>
      </c>
      <c r="B288" s="18" t="s">
        <v>2</v>
      </c>
      <c r="C288" s="12" t="s">
        <v>24</v>
      </c>
      <c r="D288" s="3" t="s">
        <v>14</v>
      </c>
      <c r="E288" s="4">
        <v>45666</v>
      </c>
      <c r="F288" s="15">
        <v>72</v>
      </c>
      <c r="G288" s="4">
        <v>45671</v>
      </c>
      <c r="H288" s="14" t="s">
        <v>29</v>
      </c>
      <c r="I288" t="s">
        <v>62</v>
      </c>
    </row>
    <row r="289" spans="1:9" x14ac:dyDescent="0.2">
      <c r="A289" s="5">
        <v>388</v>
      </c>
      <c r="B289" s="19" t="s">
        <v>2</v>
      </c>
      <c r="C289" s="13" t="s">
        <v>24</v>
      </c>
      <c r="D289" s="5" t="s">
        <v>12</v>
      </c>
      <c r="E289" s="6">
        <v>45688</v>
      </c>
      <c r="F289" s="16">
        <v>72</v>
      </c>
      <c r="G289" s="11">
        <v>45691</v>
      </c>
      <c r="H289" s="7" t="s">
        <v>30</v>
      </c>
      <c r="I289" t="s">
        <v>62</v>
      </c>
    </row>
    <row r="290" spans="1:9" x14ac:dyDescent="0.2">
      <c r="A290" s="3">
        <v>389</v>
      </c>
      <c r="B290" s="18" t="s">
        <v>22</v>
      </c>
      <c r="C290" s="12" t="s">
        <v>27</v>
      </c>
      <c r="D290" s="3" t="s">
        <v>13</v>
      </c>
      <c r="E290" s="4">
        <v>45677</v>
      </c>
      <c r="F290" s="15">
        <v>24</v>
      </c>
      <c r="G290" s="4">
        <v>45680</v>
      </c>
      <c r="H290" s="14" t="s">
        <v>29</v>
      </c>
      <c r="I290" t="s">
        <v>62</v>
      </c>
    </row>
    <row r="291" spans="1:9" x14ac:dyDescent="0.2">
      <c r="A291" s="5">
        <v>390</v>
      </c>
      <c r="B291" s="19" t="s">
        <v>2</v>
      </c>
      <c r="C291" s="13" t="s">
        <v>28</v>
      </c>
      <c r="D291" s="5" t="s">
        <v>12</v>
      </c>
      <c r="E291" s="6">
        <v>45661</v>
      </c>
      <c r="F291" s="16">
        <v>24</v>
      </c>
      <c r="G291" s="11">
        <v>45667</v>
      </c>
      <c r="H291" s="7" t="s">
        <v>29</v>
      </c>
      <c r="I291" t="s">
        <v>62</v>
      </c>
    </row>
    <row r="292" spans="1:9" ht="27.75" x14ac:dyDescent="0.2">
      <c r="A292" s="3">
        <v>391</v>
      </c>
      <c r="B292" s="18" t="s">
        <v>2</v>
      </c>
      <c r="C292" s="12" t="s">
        <v>25</v>
      </c>
      <c r="D292" s="3" t="s">
        <v>14</v>
      </c>
      <c r="E292" s="4">
        <v>45680</v>
      </c>
      <c r="F292" s="15">
        <v>24</v>
      </c>
      <c r="G292" s="4">
        <v>45680</v>
      </c>
      <c r="H292" s="14" t="s">
        <v>30</v>
      </c>
      <c r="I292" t="s">
        <v>62</v>
      </c>
    </row>
    <row r="293" spans="1:9" ht="27.75" x14ac:dyDescent="0.2">
      <c r="A293" s="5">
        <v>392</v>
      </c>
      <c r="B293" s="19" t="s">
        <v>3</v>
      </c>
      <c r="C293" s="13" t="s">
        <v>25</v>
      </c>
      <c r="D293" s="5" t="s">
        <v>12</v>
      </c>
      <c r="E293" s="6">
        <v>45682</v>
      </c>
      <c r="F293" s="16">
        <v>48</v>
      </c>
      <c r="G293" s="11">
        <v>45685</v>
      </c>
      <c r="H293" s="7" t="s">
        <v>29</v>
      </c>
      <c r="I293" t="s">
        <v>63</v>
      </c>
    </row>
    <row r="294" spans="1:9" x14ac:dyDescent="0.2">
      <c r="A294" s="3">
        <v>393</v>
      </c>
      <c r="B294" s="18" t="s">
        <v>21</v>
      </c>
      <c r="C294" s="12" t="s">
        <v>28</v>
      </c>
      <c r="D294" s="3" t="s">
        <v>14</v>
      </c>
      <c r="E294" s="4">
        <v>45688</v>
      </c>
      <c r="F294" s="15">
        <v>72</v>
      </c>
      <c r="G294" s="4">
        <v>45690</v>
      </c>
      <c r="H294" s="14" t="s">
        <v>30</v>
      </c>
      <c r="I294" t="s">
        <v>63</v>
      </c>
    </row>
    <row r="295" spans="1:9" ht="27.75" x14ac:dyDescent="0.2">
      <c r="A295" s="5">
        <v>394</v>
      </c>
      <c r="B295" s="19" t="s">
        <v>1</v>
      </c>
      <c r="C295" s="13" t="s">
        <v>25</v>
      </c>
      <c r="D295" s="5" t="s">
        <v>13</v>
      </c>
      <c r="E295" s="6">
        <v>45665</v>
      </c>
      <c r="F295" s="16">
        <v>48</v>
      </c>
      <c r="G295" s="11">
        <v>45671</v>
      </c>
      <c r="H295" s="7" t="s">
        <v>29</v>
      </c>
      <c r="I295" t="s">
        <v>63</v>
      </c>
    </row>
    <row r="296" spans="1:9" x14ac:dyDescent="0.2">
      <c r="A296" s="3">
        <v>395</v>
      </c>
      <c r="B296" s="18" t="s">
        <v>4</v>
      </c>
      <c r="C296" s="12" t="s">
        <v>24</v>
      </c>
      <c r="D296" s="3" t="s">
        <v>14</v>
      </c>
      <c r="E296" s="4">
        <v>45678</v>
      </c>
      <c r="F296" s="15">
        <v>72</v>
      </c>
      <c r="G296" s="4">
        <v>45684</v>
      </c>
      <c r="H296" s="14" t="s">
        <v>29</v>
      </c>
      <c r="I296" t="s">
        <v>62</v>
      </c>
    </row>
    <row r="297" spans="1:9" x14ac:dyDescent="0.2">
      <c r="A297" s="5">
        <v>396</v>
      </c>
      <c r="B297" s="19" t="s">
        <v>23</v>
      </c>
      <c r="C297" s="13" t="s">
        <v>24</v>
      </c>
      <c r="D297" s="5" t="s">
        <v>14</v>
      </c>
      <c r="E297" s="6">
        <v>45672</v>
      </c>
      <c r="F297" s="16">
        <v>72</v>
      </c>
      <c r="G297" s="11">
        <v>45676</v>
      </c>
      <c r="H297" s="7" t="s">
        <v>29</v>
      </c>
      <c r="I297" t="s">
        <v>62</v>
      </c>
    </row>
    <row r="298" spans="1:9" ht="27.75" x14ac:dyDescent="0.2">
      <c r="A298" s="3">
        <v>397</v>
      </c>
      <c r="B298" s="18" t="s">
        <v>23</v>
      </c>
      <c r="C298" s="12" t="s">
        <v>26</v>
      </c>
      <c r="D298" s="3" t="s">
        <v>14</v>
      </c>
      <c r="E298" s="4">
        <v>45683</v>
      </c>
      <c r="F298" s="15">
        <v>72</v>
      </c>
      <c r="G298" s="4">
        <v>45686</v>
      </c>
      <c r="H298" s="14" t="s">
        <v>30</v>
      </c>
      <c r="I298" t="s">
        <v>62</v>
      </c>
    </row>
    <row r="299" spans="1:9" ht="27.75" x14ac:dyDescent="0.2">
      <c r="A299" s="5">
        <v>398</v>
      </c>
      <c r="B299" s="19" t="s">
        <v>21</v>
      </c>
      <c r="C299" s="13" t="s">
        <v>25</v>
      </c>
      <c r="D299" s="5" t="s">
        <v>14</v>
      </c>
      <c r="E299" s="6">
        <v>45687</v>
      </c>
      <c r="F299" s="16">
        <v>24</v>
      </c>
      <c r="G299" s="11">
        <v>45688</v>
      </c>
      <c r="H299" s="7" t="s">
        <v>30</v>
      </c>
      <c r="I299" t="s">
        <v>62</v>
      </c>
    </row>
    <row r="300" spans="1:9" x14ac:dyDescent="0.2">
      <c r="A300" s="3">
        <v>399</v>
      </c>
      <c r="B300" s="18" t="s">
        <v>4</v>
      </c>
      <c r="C300" s="12" t="s">
        <v>27</v>
      </c>
      <c r="D300" s="3" t="s">
        <v>12</v>
      </c>
      <c r="E300" s="4">
        <v>45672</v>
      </c>
      <c r="F300" s="15">
        <v>24</v>
      </c>
      <c r="G300" s="4">
        <v>45679</v>
      </c>
      <c r="H300" s="14" t="s">
        <v>29</v>
      </c>
      <c r="I300" t="s">
        <v>63</v>
      </c>
    </row>
    <row r="301" spans="1:9" ht="27.75" x14ac:dyDescent="0.2">
      <c r="A301" s="5">
        <v>400</v>
      </c>
      <c r="B301" s="19" t="s">
        <v>4</v>
      </c>
      <c r="C301" s="13" t="s">
        <v>26</v>
      </c>
      <c r="D301" s="5" t="s">
        <v>13</v>
      </c>
      <c r="E301" s="6">
        <v>45673</v>
      </c>
      <c r="F301" s="16">
        <v>48</v>
      </c>
      <c r="G301" s="11">
        <v>45674</v>
      </c>
      <c r="H301" s="7" t="s">
        <v>30</v>
      </c>
      <c r="I301" t="s">
        <v>63</v>
      </c>
    </row>
  </sheetData>
  <phoneticPr fontId="3" alignment="center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D2DF-6483-8744-A2E4-041EE11A9438}">
  <dimension ref="A1:L301"/>
  <sheetViews>
    <sheetView zoomScaleNormal="150" zoomScaleSheetLayoutView="100" workbookViewId="0">
      <selection activeCell="N16" sqref="N16"/>
    </sheetView>
  </sheetViews>
  <sheetFormatPr defaultRowHeight="15" x14ac:dyDescent="0.2"/>
  <cols>
    <col min="1" max="1" width="11.97265625" bestFit="1" customWidth="1"/>
    <col min="2" max="2" width="13.71875" bestFit="1" customWidth="1"/>
    <col min="3" max="3" width="15.33203125" customWidth="1"/>
    <col min="4" max="4" width="11.8359375" style="22" customWidth="1"/>
    <col min="5" max="5" width="11.43359375" bestFit="1" customWidth="1"/>
    <col min="6" max="6" width="16.140625" bestFit="1" customWidth="1"/>
    <col min="7" max="7" width="21.92578125" bestFit="1" customWidth="1"/>
    <col min="8" max="8" width="18.96484375" bestFit="1" customWidth="1"/>
    <col min="9" max="9" width="14.66015625" bestFit="1" customWidth="1"/>
    <col min="10" max="10" width="15.6015625" customWidth="1"/>
  </cols>
  <sheetData>
    <row r="1" spans="1:12" x14ac:dyDescent="0.2">
      <c r="A1" t="s">
        <v>45</v>
      </c>
      <c r="B1" t="s">
        <v>33</v>
      </c>
      <c r="C1" t="s">
        <v>34</v>
      </c>
      <c r="D1" t="s">
        <v>35</v>
      </c>
      <c r="E1" s="22" t="s">
        <v>36</v>
      </c>
      <c r="F1" t="s">
        <v>37</v>
      </c>
      <c r="G1" t="s">
        <v>38</v>
      </c>
      <c r="H1" t="s">
        <v>39</v>
      </c>
      <c r="I1" t="s">
        <v>52</v>
      </c>
      <c r="J1" t="s">
        <v>53</v>
      </c>
    </row>
    <row r="2" spans="1:12" x14ac:dyDescent="0.2">
      <c r="A2" s="18" t="s">
        <v>3</v>
      </c>
      <c r="B2" s="2" t="str">
        <f>"V-"&amp;Table3[[#This Row],[Ticket_ID]]</f>
        <v>V-101</v>
      </c>
      <c r="C2" s="24">
        <f>Table3[[#This Row],[Date_Opened]]</f>
        <v>45666</v>
      </c>
      <c r="D2" s="24">
        <f>Table3[[#This Row],[Date_Resolved]]</f>
        <v>45670</v>
      </c>
      <c r="E2" s="25">
        <v>225</v>
      </c>
      <c r="F2" s="9">
        <v>39</v>
      </c>
      <c r="G2" s="9">
        <f>Table6[[#This Row],[Quantity]]*Table6[[#This Row],[Unit Price]]</f>
        <v>8775</v>
      </c>
      <c r="H2" s="23" t="s">
        <v>40</v>
      </c>
      <c r="I2" s="23" t="s">
        <v>64</v>
      </c>
      <c r="J2" s="9" t="str">
        <f>IF(Table6[[#This Row],[Order_Status]]="Delivered","Resolved","Open")</f>
        <v>Resolved</v>
      </c>
      <c r="L2" t="s">
        <v>54</v>
      </c>
    </row>
    <row r="3" spans="1:12" x14ac:dyDescent="0.2">
      <c r="A3" s="19" t="s">
        <v>4</v>
      </c>
      <c r="B3" s="2" t="str">
        <f>"V-"&amp;Table3[[#This Row],[Ticket_ID]]</f>
        <v>V-102</v>
      </c>
      <c r="C3" s="24">
        <f>Table3[[#This Row],[Date_Opened]]</f>
        <v>45682</v>
      </c>
      <c r="D3" s="24">
        <f>Table3[[#This Row],[Date_Resolved]]</f>
        <v>45688</v>
      </c>
      <c r="E3" s="25">
        <v>265</v>
      </c>
      <c r="F3" s="9">
        <v>29</v>
      </c>
      <c r="G3" s="9">
        <f>Table6[[#This Row],[Quantity]]*Table6[[#This Row],[Unit Price]]</f>
        <v>7685</v>
      </c>
      <c r="H3" s="23" t="s">
        <v>40</v>
      </c>
      <c r="I3" s="23" t="s">
        <v>64</v>
      </c>
      <c r="J3" s="9" t="str">
        <f>IF(Table6[[#This Row],[Order_Status]]="Delivered","Resolved","Open")</f>
        <v>Resolved</v>
      </c>
    </row>
    <row r="4" spans="1:12" x14ac:dyDescent="0.2">
      <c r="A4" s="18" t="s">
        <v>20</v>
      </c>
      <c r="B4" s="2" t="str">
        <f>"V-"&amp;Table3[[#This Row],[Ticket_ID]]</f>
        <v>V-103</v>
      </c>
      <c r="C4" s="24">
        <f>Table3[[#This Row],[Date_Opened]]</f>
        <v>45668</v>
      </c>
      <c r="D4" s="24">
        <f>Table3[[#This Row],[Date_Resolved]]</f>
        <v>45670</v>
      </c>
      <c r="E4" s="25">
        <v>205</v>
      </c>
      <c r="F4" s="9">
        <v>20</v>
      </c>
      <c r="G4" s="9">
        <f>Table6[[#This Row],[Quantity]]*Table6[[#This Row],[Unit Price]]</f>
        <v>4100</v>
      </c>
      <c r="H4" s="23" t="s">
        <v>41</v>
      </c>
      <c r="I4" s="23" t="s">
        <v>64</v>
      </c>
      <c r="J4" s="9" t="str">
        <f>IF(Table6[[#This Row],[Order_Status]]="Delivered","Resolved","Open")</f>
        <v>Resolved</v>
      </c>
    </row>
    <row r="5" spans="1:12" x14ac:dyDescent="0.2">
      <c r="A5" s="19" t="s">
        <v>20</v>
      </c>
      <c r="B5" s="2" t="str">
        <f>"V-"&amp;Table3[[#This Row],[Ticket_ID]]</f>
        <v>V-104</v>
      </c>
      <c r="C5" s="24">
        <f>Table3[[#This Row],[Date_Opened]]</f>
        <v>45672</v>
      </c>
      <c r="D5" s="24">
        <f>Table3[[#This Row],[Date_Resolved]]</f>
        <v>45678</v>
      </c>
      <c r="E5" s="25">
        <v>439</v>
      </c>
      <c r="F5" s="9">
        <v>5</v>
      </c>
      <c r="G5" s="9">
        <f>Table6[[#This Row],[Quantity]]*Table6[[#This Row],[Unit Price]]</f>
        <v>2195</v>
      </c>
      <c r="H5" s="23" t="s">
        <v>42</v>
      </c>
      <c r="I5" s="23" t="s">
        <v>64</v>
      </c>
      <c r="J5" s="9" t="str">
        <f>IF(Table6[[#This Row],[Order_Status]]="Delivered","Resolved","Open")</f>
        <v>Resolved</v>
      </c>
    </row>
    <row r="6" spans="1:12" x14ac:dyDescent="0.2">
      <c r="A6" s="18" t="s">
        <v>2</v>
      </c>
      <c r="B6" s="2" t="str">
        <f>"V-"&amp;Table3[[#This Row],[Ticket_ID]]</f>
        <v>V-105</v>
      </c>
      <c r="C6" s="24">
        <f>Table3[[#This Row],[Date_Opened]]</f>
        <v>45666</v>
      </c>
      <c r="D6" s="24">
        <f>Table3[[#This Row],[Date_Resolved]]</f>
        <v>45669</v>
      </c>
      <c r="E6" s="25">
        <v>264</v>
      </c>
      <c r="F6" s="9">
        <v>10</v>
      </c>
      <c r="G6" s="9">
        <f>Table6[[#This Row],[Quantity]]*Table6[[#This Row],[Unit Price]]</f>
        <v>2640</v>
      </c>
      <c r="H6" s="23" t="s">
        <v>42</v>
      </c>
      <c r="I6" s="23" t="s">
        <v>64</v>
      </c>
      <c r="J6" s="9" t="str">
        <f>IF(Table6[[#This Row],[Order_Status]]="Delivered","Resolved","Open")</f>
        <v>Resolved</v>
      </c>
    </row>
    <row r="7" spans="1:12" x14ac:dyDescent="0.2">
      <c r="A7" s="19" t="s">
        <v>2</v>
      </c>
      <c r="B7" s="2" t="str">
        <f>"V-"&amp;Table3[[#This Row],[Ticket_ID]]</f>
        <v>V-106</v>
      </c>
      <c r="C7" s="24">
        <f>Table3[[#This Row],[Date_Opened]]</f>
        <v>45684</v>
      </c>
      <c r="D7" s="24">
        <f>Table3[[#This Row],[Date_Resolved]]</f>
        <v>45691</v>
      </c>
      <c r="E7" s="25">
        <v>327</v>
      </c>
      <c r="F7" s="9">
        <v>18</v>
      </c>
      <c r="G7" s="9">
        <f>Table6[[#This Row],[Quantity]]*Table6[[#This Row],[Unit Price]]</f>
        <v>5886</v>
      </c>
      <c r="H7" s="23" t="s">
        <v>42</v>
      </c>
      <c r="I7" s="23" t="s">
        <v>64</v>
      </c>
      <c r="J7" s="9" t="str">
        <f>IF(Table6[[#This Row],[Order_Status]]="Delivered","Resolved","Open")</f>
        <v>Resolved</v>
      </c>
    </row>
    <row r="8" spans="1:12" x14ac:dyDescent="0.2">
      <c r="A8" s="18" t="s">
        <v>20</v>
      </c>
      <c r="B8" s="2" t="str">
        <f>"V-"&amp;Table3[[#This Row],[Ticket_ID]]</f>
        <v>V-107</v>
      </c>
      <c r="C8" s="24">
        <f>Table3[[#This Row],[Date_Opened]]</f>
        <v>45672</v>
      </c>
      <c r="D8" s="24">
        <f>Table3[[#This Row],[Date_Resolved]]</f>
        <v>45672</v>
      </c>
      <c r="E8" s="25">
        <v>219</v>
      </c>
      <c r="F8" s="9">
        <v>28</v>
      </c>
      <c r="G8" s="9">
        <f>Table6[[#This Row],[Quantity]]*Table6[[#This Row],[Unit Price]]</f>
        <v>6132</v>
      </c>
      <c r="H8" s="23" t="s">
        <v>43</v>
      </c>
      <c r="I8" s="23" t="s">
        <v>64</v>
      </c>
      <c r="J8" s="9" t="str">
        <f>IF(Table6[[#This Row],[Order_Status]]="Delivered","Resolved","Open")</f>
        <v>Resolved</v>
      </c>
    </row>
    <row r="9" spans="1:12" x14ac:dyDescent="0.2">
      <c r="A9" s="19" t="s">
        <v>3</v>
      </c>
      <c r="B9" s="2" t="str">
        <f>"V-"&amp;Table3[[#This Row],[Ticket_ID]]</f>
        <v>V-108</v>
      </c>
      <c r="C9" s="24">
        <f>Table3[[#This Row],[Date_Opened]]</f>
        <v>45668</v>
      </c>
      <c r="D9" s="24">
        <f>Table3[[#This Row],[Date_Resolved]]</f>
        <v>45672</v>
      </c>
      <c r="E9" s="25">
        <v>128</v>
      </c>
      <c r="F9" s="9">
        <v>45</v>
      </c>
      <c r="G9" s="9">
        <f>Table6[[#This Row],[Quantity]]*Table6[[#This Row],[Unit Price]]</f>
        <v>5760</v>
      </c>
      <c r="H9" s="23" t="s">
        <v>40</v>
      </c>
      <c r="I9" s="23" t="s">
        <v>67</v>
      </c>
      <c r="J9" s="9" t="str">
        <f>IF(Table6[[#This Row],[Order_Status]]="Delivered","Resolved","Open")</f>
        <v>Open</v>
      </c>
    </row>
    <row r="10" spans="1:12" x14ac:dyDescent="0.2">
      <c r="A10" s="18" t="s">
        <v>23</v>
      </c>
      <c r="B10" s="2" t="str">
        <f>"V-"&amp;Table3[[#This Row],[Ticket_ID]]</f>
        <v>V-109</v>
      </c>
      <c r="C10" s="24">
        <f>Table3[[#This Row],[Date_Opened]]</f>
        <v>45663</v>
      </c>
      <c r="D10" s="24">
        <f>Table3[[#This Row],[Date_Resolved]]</f>
        <v>45664</v>
      </c>
      <c r="E10" s="25">
        <v>400</v>
      </c>
      <c r="F10" s="9">
        <v>19</v>
      </c>
      <c r="G10" s="9">
        <f>Table6[[#This Row],[Quantity]]*Table6[[#This Row],[Unit Price]]</f>
        <v>7600</v>
      </c>
      <c r="H10" s="23" t="s">
        <v>42</v>
      </c>
      <c r="I10" s="23" t="s">
        <v>64</v>
      </c>
      <c r="J10" s="9" t="str">
        <f>IF(Table6[[#This Row],[Order_Status]]="Delivered","Resolved","Open")</f>
        <v>Resolved</v>
      </c>
    </row>
    <row r="11" spans="1:12" x14ac:dyDescent="0.2">
      <c r="A11" s="19" t="s">
        <v>23</v>
      </c>
      <c r="B11" s="2" t="str">
        <f>"V-"&amp;Table3[[#This Row],[Ticket_ID]]</f>
        <v>V-110</v>
      </c>
      <c r="C11" s="24">
        <f>Table3[[#This Row],[Date_Opened]]</f>
        <v>45685</v>
      </c>
      <c r="D11" s="24">
        <f>Table3[[#This Row],[Date_Resolved]]</f>
        <v>45689</v>
      </c>
      <c r="E11" s="25">
        <v>113</v>
      </c>
      <c r="F11" s="9">
        <v>26</v>
      </c>
      <c r="G11" s="9">
        <f>Table6[[#This Row],[Quantity]]*Table6[[#This Row],[Unit Price]]</f>
        <v>2938</v>
      </c>
      <c r="H11" s="23" t="s">
        <v>40</v>
      </c>
      <c r="I11" s="23" t="s">
        <v>64</v>
      </c>
      <c r="J11" s="9" t="str">
        <f>IF(Table6[[#This Row],[Order_Status]]="Delivered","Resolved","Open")</f>
        <v>Resolved</v>
      </c>
    </row>
    <row r="12" spans="1:12" x14ac:dyDescent="0.2">
      <c r="A12" s="18" t="s">
        <v>22</v>
      </c>
      <c r="B12" s="2" t="str">
        <f>"V-"&amp;Table3[[#This Row],[Ticket_ID]]</f>
        <v>V-111</v>
      </c>
      <c r="C12" s="24">
        <f>Table3[[#This Row],[Date_Opened]]</f>
        <v>45662</v>
      </c>
      <c r="D12" s="24">
        <f>Table3[[#This Row],[Date_Resolved]]</f>
        <v>45669</v>
      </c>
      <c r="E12" s="25">
        <v>319</v>
      </c>
      <c r="F12" s="9">
        <v>34</v>
      </c>
      <c r="G12" s="9">
        <f>Table6[[#This Row],[Quantity]]*Table6[[#This Row],[Unit Price]]</f>
        <v>10846</v>
      </c>
      <c r="H12" s="23" t="s">
        <v>43</v>
      </c>
      <c r="I12" s="23" t="s">
        <v>64</v>
      </c>
      <c r="J12" s="9" t="str">
        <f>IF(Table6[[#This Row],[Order_Status]]="Delivered","Resolved","Open")</f>
        <v>Resolved</v>
      </c>
    </row>
    <row r="13" spans="1:12" x14ac:dyDescent="0.2">
      <c r="A13" s="19" t="s">
        <v>22</v>
      </c>
      <c r="B13" s="2" t="str">
        <f>"V-"&amp;Table3[[#This Row],[Ticket_ID]]</f>
        <v>V-112</v>
      </c>
      <c r="C13" s="24">
        <f>Table3[[#This Row],[Date_Opened]]</f>
        <v>45678</v>
      </c>
      <c r="D13" s="24">
        <f>Table3[[#This Row],[Date_Resolved]]</f>
        <v>45682</v>
      </c>
      <c r="E13" s="25">
        <v>175</v>
      </c>
      <c r="F13" s="9">
        <v>13</v>
      </c>
      <c r="G13" s="9">
        <f>Table6[[#This Row],[Quantity]]*Table6[[#This Row],[Unit Price]]</f>
        <v>2275</v>
      </c>
      <c r="H13" s="23" t="s">
        <v>41</v>
      </c>
      <c r="I13" s="23" t="s">
        <v>64</v>
      </c>
      <c r="J13" s="9" t="str">
        <f>IF(Table6[[#This Row],[Order_Status]]="Delivered","Resolved","Open")</f>
        <v>Resolved</v>
      </c>
    </row>
    <row r="14" spans="1:12" x14ac:dyDescent="0.2">
      <c r="A14" s="18" t="s">
        <v>4</v>
      </c>
      <c r="B14" s="2" t="str">
        <f>"V-"&amp;Table3[[#This Row],[Ticket_ID]]</f>
        <v>V-113</v>
      </c>
      <c r="C14" s="24">
        <f>Table3[[#This Row],[Date_Opened]]</f>
        <v>45684</v>
      </c>
      <c r="D14" s="24">
        <f>Table3[[#This Row],[Date_Resolved]]</f>
        <v>45685</v>
      </c>
      <c r="E14" s="25">
        <v>243</v>
      </c>
      <c r="F14" s="9">
        <v>34</v>
      </c>
      <c r="G14" s="9">
        <f>Table6[[#This Row],[Quantity]]*Table6[[#This Row],[Unit Price]]</f>
        <v>8262</v>
      </c>
      <c r="H14" s="23" t="s">
        <v>43</v>
      </c>
      <c r="I14" s="23" t="s">
        <v>64</v>
      </c>
      <c r="J14" s="9" t="str">
        <f>IF(Table6[[#This Row],[Order_Status]]="Delivered","Resolved","Open")</f>
        <v>Resolved</v>
      </c>
    </row>
    <row r="15" spans="1:12" x14ac:dyDescent="0.2">
      <c r="A15" s="19" t="s">
        <v>21</v>
      </c>
      <c r="B15" s="2" t="str">
        <f>"V-"&amp;Table3[[#This Row],[Ticket_ID]]</f>
        <v>V-114</v>
      </c>
      <c r="C15" s="24">
        <f>Table3[[#This Row],[Date_Opened]]</f>
        <v>45661</v>
      </c>
      <c r="D15" s="24">
        <f>Table3[[#This Row],[Date_Resolved]]</f>
        <v>45663</v>
      </c>
      <c r="E15" s="25">
        <v>163</v>
      </c>
      <c r="F15" s="9">
        <v>29</v>
      </c>
      <c r="G15" s="9">
        <f>Table6[[#This Row],[Quantity]]*Table6[[#This Row],[Unit Price]]</f>
        <v>4727</v>
      </c>
      <c r="H15" s="23" t="s">
        <v>40</v>
      </c>
      <c r="I15" s="23" t="s">
        <v>64</v>
      </c>
      <c r="J15" s="9" t="str">
        <f>IF(Table6[[#This Row],[Order_Status]]="Delivered","Resolved","Open")</f>
        <v>Resolved</v>
      </c>
    </row>
    <row r="16" spans="1:12" x14ac:dyDescent="0.2">
      <c r="A16" s="18" t="s">
        <v>3</v>
      </c>
      <c r="B16" s="2" t="str">
        <f>"V-"&amp;Table3[[#This Row],[Ticket_ID]]</f>
        <v>V-115</v>
      </c>
      <c r="C16" s="24">
        <f>Table3[[#This Row],[Date_Opened]]</f>
        <v>45666</v>
      </c>
      <c r="D16" s="24">
        <f>Table3[[#This Row],[Date_Resolved]]</f>
        <v>45666</v>
      </c>
      <c r="E16" s="25">
        <v>415</v>
      </c>
      <c r="F16" s="9">
        <v>65</v>
      </c>
      <c r="G16" s="9">
        <f>Table6[[#This Row],[Quantity]]*Table6[[#This Row],[Unit Price]]</f>
        <v>26975</v>
      </c>
      <c r="H16" s="23" t="s">
        <v>44</v>
      </c>
      <c r="I16" s="23" t="s">
        <v>64</v>
      </c>
      <c r="J16" s="9" t="str">
        <f>IF(Table6[[#This Row],[Order_Status]]="Delivered","Resolved","Open")</f>
        <v>Resolved</v>
      </c>
    </row>
    <row r="17" spans="1:10" x14ac:dyDescent="0.2">
      <c r="A17" s="19" t="s">
        <v>3</v>
      </c>
      <c r="B17" s="2" t="str">
        <f>"V-"&amp;Table3[[#This Row],[Ticket_ID]]</f>
        <v>V-116</v>
      </c>
      <c r="C17" s="24">
        <f>Table3[[#This Row],[Date_Opened]]</f>
        <v>45679</v>
      </c>
      <c r="D17" s="24">
        <f>Table3[[#This Row],[Date_Resolved]]</f>
        <v>45684</v>
      </c>
      <c r="E17" s="25">
        <v>355</v>
      </c>
      <c r="F17" s="9">
        <v>15</v>
      </c>
      <c r="G17" s="9">
        <f>Table6[[#This Row],[Quantity]]*Table6[[#This Row],[Unit Price]]</f>
        <v>5325</v>
      </c>
      <c r="H17" s="23" t="s">
        <v>43</v>
      </c>
      <c r="I17" s="23" t="s">
        <v>64</v>
      </c>
      <c r="J17" s="9" t="str">
        <f>IF(Table6[[#This Row],[Order_Status]]="Delivered","Resolved","Open")</f>
        <v>Resolved</v>
      </c>
    </row>
    <row r="18" spans="1:10" x14ac:dyDescent="0.2">
      <c r="A18" s="18" t="s">
        <v>1</v>
      </c>
      <c r="B18" s="2" t="str">
        <f>"V-"&amp;Table3[[#This Row],[Ticket_ID]]</f>
        <v>V-117</v>
      </c>
      <c r="C18" s="24">
        <f>Table3[[#This Row],[Date_Opened]]</f>
        <v>45680</v>
      </c>
      <c r="D18" s="24">
        <f>Table3[[#This Row],[Date_Resolved]]</f>
        <v>45683</v>
      </c>
      <c r="E18" s="25">
        <v>263</v>
      </c>
      <c r="F18" s="9">
        <v>11</v>
      </c>
      <c r="G18" s="9">
        <f>Table6[[#This Row],[Quantity]]*Table6[[#This Row],[Unit Price]]</f>
        <v>2893</v>
      </c>
      <c r="H18" s="23" t="s">
        <v>42</v>
      </c>
      <c r="I18" s="23" t="s">
        <v>64</v>
      </c>
      <c r="J18" s="9" t="str">
        <f>IF(Table6[[#This Row],[Order_Status]]="Delivered","Resolved","Open")</f>
        <v>Resolved</v>
      </c>
    </row>
    <row r="19" spans="1:10" x14ac:dyDescent="0.2">
      <c r="A19" s="19" t="s">
        <v>2</v>
      </c>
      <c r="B19" s="2" t="str">
        <f>"V-"&amp;Table3[[#This Row],[Ticket_ID]]</f>
        <v>V-118</v>
      </c>
      <c r="C19" s="24">
        <f>Table3[[#This Row],[Date_Opened]]</f>
        <v>45671</v>
      </c>
      <c r="D19" s="24">
        <f>Table3[[#This Row],[Date_Resolved]]</f>
        <v>45671</v>
      </c>
      <c r="E19" s="25">
        <v>226</v>
      </c>
      <c r="F19" s="9">
        <v>21</v>
      </c>
      <c r="G19" s="9">
        <f>Table6[[#This Row],[Quantity]]*Table6[[#This Row],[Unit Price]]</f>
        <v>4746</v>
      </c>
      <c r="H19" s="23" t="s">
        <v>41</v>
      </c>
      <c r="I19" s="23" t="s">
        <v>65</v>
      </c>
      <c r="J19" s="9" t="str">
        <f>IF(Table6[[#This Row],[Order_Status]]="Delivered","Resolved","Open")</f>
        <v>Open</v>
      </c>
    </row>
    <row r="20" spans="1:10" x14ac:dyDescent="0.2">
      <c r="A20" s="18" t="s">
        <v>2</v>
      </c>
      <c r="B20" s="2" t="str">
        <f>"V-"&amp;Table3[[#This Row],[Ticket_ID]]</f>
        <v>V-119</v>
      </c>
      <c r="C20" s="24">
        <f>Table3[[#This Row],[Date_Opened]]</f>
        <v>45673</v>
      </c>
      <c r="D20" s="24">
        <f>Table3[[#This Row],[Date_Resolved]]</f>
        <v>45673</v>
      </c>
      <c r="E20" s="25">
        <v>247</v>
      </c>
      <c r="F20" s="9">
        <v>15</v>
      </c>
      <c r="G20" s="9">
        <f>Table6[[#This Row],[Quantity]]*Table6[[#This Row],[Unit Price]]</f>
        <v>3705</v>
      </c>
      <c r="H20" s="23" t="s">
        <v>41</v>
      </c>
      <c r="I20" s="23" t="s">
        <v>66</v>
      </c>
      <c r="J20" s="9" t="str">
        <f>IF(Table6[[#This Row],[Order_Status]]="Delivered","Resolved","Open")</f>
        <v>Open</v>
      </c>
    </row>
    <row r="21" spans="1:10" x14ac:dyDescent="0.2">
      <c r="A21" s="19" t="s">
        <v>2</v>
      </c>
      <c r="B21" s="2" t="str">
        <f>"V-"&amp;Table3[[#This Row],[Ticket_ID]]</f>
        <v>V-120</v>
      </c>
      <c r="C21" s="24">
        <f>Table3[[#This Row],[Date_Opened]]</f>
        <v>45681</v>
      </c>
      <c r="D21" s="24">
        <f>Table3[[#This Row],[Date_Resolved]]</f>
        <v>45681</v>
      </c>
      <c r="E21" s="25">
        <v>323</v>
      </c>
      <c r="F21" s="9">
        <v>101</v>
      </c>
      <c r="G21" s="9">
        <f>Table6[[#This Row],[Quantity]]*Table6[[#This Row],[Unit Price]]</f>
        <v>32623</v>
      </c>
      <c r="H21" s="23" t="s">
        <v>44</v>
      </c>
      <c r="I21" s="23" t="s">
        <v>64</v>
      </c>
      <c r="J21" s="9" t="str">
        <f>IF(Table6[[#This Row],[Order_Status]]="Delivered","Resolved","Open")</f>
        <v>Resolved</v>
      </c>
    </row>
    <row r="22" spans="1:10" x14ac:dyDescent="0.2">
      <c r="A22" s="18" t="s">
        <v>23</v>
      </c>
      <c r="B22" s="2" t="str">
        <f>"V-"&amp;Table3[[#This Row],[Ticket_ID]]</f>
        <v>V-121</v>
      </c>
      <c r="C22" s="24">
        <f>Table3[[#This Row],[Date_Opened]]</f>
        <v>45676</v>
      </c>
      <c r="D22" s="24">
        <f>Table3[[#This Row],[Date_Resolved]]</f>
        <v>45682</v>
      </c>
      <c r="E22" s="25">
        <v>320</v>
      </c>
      <c r="F22" s="9">
        <v>23</v>
      </c>
      <c r="G22" s="9">
        <f>Table6[[#This Row],[Quantity]]*Table6[[#This Row],[Unit Price]]</f>
        <v>7360</v>
      </c>
      <c r="H22" s="23" t="s">
        <v>42</v>
      </c>
      <c r="I22" s="23" t="s">
        <v>64</v>
      </c>
      <c r="J22" s="9" t="str">
        <f>IF(Table6[[#This Row],[Order_Status]]="Delivered","Resolved","Open")</f>
        <v>Resolved</v>
      </c>
    </row>
    <row r="23" spans="1:10" x14ac:dyDescent="0.2">
      <c r="A23" s="19" t="s">
        <v>1</v>
      </c>
      <c r="B23" s="2" t="str">
        <f>"V-"&amp;Table3[[#This Row],[Ticket_ID]]</f>
        <v>V-122</v>
      </c>
      <c r="C23" s="24">
        <f>Table3[[#This Row],[Date_Opened]]</f>
        <v>45669</v>
      </c>
      <c r="D23" s="24">
        <f>Table3[[#This Row],[Date_Resolved]]</f>
        <v>45674</v>
      </c>
      <c r="E23" s="25">
        <v>499</v>
      </c>
      <c r="F23" s="9">
        <v>44</v>
      </c>
      <c r="G23" s="9">
        <f>Table6[[#This Row],[Quantity]]*Table6[[#This Row],[Unit Price]]</f>
        <v>21956</v>
      </c>
      <c r="H23" s="23" t="s">
        <v>44</v>
      </c>
      <c r="I23" s="23" t="s">
        <v>64</v>
      </c>
      <c r="J23" s="9" t="str">
        <f>IF(Table6[[#This Row],[Order_Status]]="Delivered","Resolved","Open")</f>
        <v>Resolved</v>
      </c>
    </row>
    <row r="24" spans="1:10" x14ac:dyDescent="0.2">
      <c r="A24" s="18" t="s">
        <v>23</v>
      </c>
      <c r="B24" s="2" t="str">
        <f>"V-"&amp;Table3[[#This Row],[Ticket_ID]]</f>
        <v>V-123</v>
      </c>
      <c r="C24" s="24">
        <f>Table3[[#This Row],[Date_Opened]]</f>
        <v>45659</v>
      </c>
      <c r="D24" s="24">
        <f>Table3[[#This Row],[Date_Resolved]]</f>
        <v>45661</v>
      </c>
      <c r="E24" s="25">
        <v>239</v>
      </c>
      <c r="F24" s="9">
        <v>19</v>
      </c>
      <c r="G24" s="9">
        <f>Table6[[#This Row],[Quantity]]*Table6[[#This Row],[Unit Price]]</f>
        <v>4541</v>
      </c>
      <c r="H24" s="23" t="s">
        <v>40</v>
      </c>
      <c r="I24" s="23" t="s">
        <v>64</v>
      </c>
      <c r="J24" s="9" t="str">
        <f>IF(Table6[[#This Row],[Order_Status]]="Delivered","Resolved","Open")</f>
        <v>Resolved</v>
      </c>
    </row>
    <row r="25" spans="1:10" x14ac:dyDescent="0.2">
      <c r="A25" s="19" t="s">
        <v>4</v>
      </c>
      <c r="B25" s="2" t="str">
        <f>"V-"&amp;Table3[[#This Row],[Ticket_ID]]</f>
        <v>V-124</v>
      </c>
      <c r="C25" s="24">
        <f>Table3[[#This Row],[Date_Opened]]</f>
        <v>45669</v>
      </c>
      <c r="D25" s="24">
        <f>Table3[[#This Row],[Date_Resolved]]</f>
        <v>45671</v>
      </c>
      <c r="E25" s="25">
        <v>106</v>
      </c>
      <c r="F25" s="9">
        <v>11</v>
      </c>
      <c r="G25" s="9">
        <f>Table6[[#This Row],[Quantity]]*Table6[[#This Row],[Unit Price]]</f>
        <v>1166</v>
      </c>
      <c r="H25" s="23" t="s">
        <v>40</v>
      </c>
      <c r="I25" s="23" t="s">
        <v>64</v>
      </c>
      <c r="J25" s="9" t="str">
        <f>IF(Table6[[#This Row],[Order_Status]]="Delivered","Resolved","Open")</f>
        <v>Resolved</v>
      </c>
    </row>
    <row r="26" spans="1:10" x14ac:dyDescent="0.2">
      <c r="A26" s="18" t="s">
        <v>1</v>
      </c>
      <c r="B26" s="2" t="str">
        <f>"V-"&amp;Table3[[#This Row],[Ticket_ID]]</f>
        <v>V-125</v>
      </c>
      <c r="C26" s="24">
        <f>Table3[[#This Row],[Date_Opened]]</f>
        <v>45662</v>
      </c>
      <c r="D26" s="24">
        <f>Table3[[#This Row],[Date_Resolved]]</f>
        <v>45664</v>
      </c>
      <c r="E26" s="25">
        <v>350</v>
      </c>
      <c r="F26" s="9">
        <v>5</v>
      </c>
      <c r="G26" s="9">
        <f>Table6[[#This Row],[Quantity]]*Table6[[#This Row],[Unit Price]]</f>
        <v>1750</v>
      </c>
      <c r="H26" s="23" t="s">
        <v>42</v>
      </c>
      <c r="I26" s="23" t="s">
        <v>64</v>
      </c>
      <c r="J26" s="9" t="str">
        <f>IF(Table6[[#This Row],[Order_Status]]="Delivered","Resolved","Open")</f>
        <v>Resolved</v>
      </c>
    </row>
    <row r="27" spans="1:10" x14ac:dyDescent="0.2">
      <c r="A27" s="19" t="s">
        <v>22</v>
      </c>
      <c r="B27" s="2" t="str">
        <f>"V-"&amp;Table3[[#This Row],[Ticket_ID]]</f>
        <v>V-126</v>
      </c>
      <c r="C27" s="24">
        <f>Table3[[#This Row],[Date_Opened]]</f>
        <v>45663</v>
      </c>
      <c r="D27" s="24">
        <f>Table3[[#This Row],[Date_Resolved]]</f>
        <v>45664</v>
      </c>
      <c r="E27" s="25">
        <v>207</v>
      </c>
      <c r="F27" s="9">
        <v>15</v>
      </c>
      <c r="G27" s="9">
        <f>Table6[[#This Row],[Quantity]]*Table6[[#This Row],[Unit Price]]</f>
        <v>3105</v>
      </c>
      <c r="H27" s="23" t="s">
        <v>41</v>
      </c>
      <c r="I27" s="23" t="s">
        <v>64</v>
      </c>
      <c r="J27" s="9" t="str">
        <f>IF(Table6[[#This Row],[Order_Status]]="Delivered","Resolved","Open")</f>
        <v>Resolved</v>
      </c>
    </row>
    <row r="28" spans="1:10" x14ac:dyDescent="0.2">
      <c r="A28" s="18" t="s">
        <v>21</v>
      </c>
      <c r="B28" s="2" t="str">
        <f>"V-"&amp;Table3[[#This Row],[Ticket_ID]]</f>
        <v>V-127</v>
      </c>
      <c r="C28" s="24">
        <f>Table3[[#This Row],[Date_Opened]]</f>
        <v>45685</v>
      </c>
      <c r="D28" s="24">
        <f>Table3[[#This Row],[Date_Resolved]]</f>
        <v>45692</v>
      </c>
      <c r="E28" s="25">
        <v>550</v>
      </c>
      <c r="F28" s="9">
        <v>41</v>
      </c>
      <c r="G28" s="9">
        <f>Table6[[#This Row],[Quantity]]*Table6[[#This Row],[Unit Price]]</f>
        <v>22550</v>
      </c>
      <c r="H28" s="23" t="s">
        <v>44</v>
      </c>
      <c r="I28" s="23" t="s">
        <v>64</v>
      </c>
      <c r="J28" s="9" t="str">
        <f>IF(Table6[[#This Row],[Order_Status]]="Delivered","Resolved","Open")</f>
        <v>Resolved</v>
      </c>
    </row>
    <row r="29" spans="1:10" x14ac:dyDescent="0.2">
      <c r="A29" s="19" t="s">
        <v>20</v>
      </c>
      <c r="B29" s="2" t="str">
        <f>"V-"&amp;Table3[[#This Row],[Ticket_ID]]</f>
        <v>V-128</v>
      </c>
      <c r="C29" s="24">
        <f>Table3[[#This Row],[Date_Opened]]</f>
        <v>45681</v>
      </c>
      <c r="D29" s="24">
        <f>Table3[[#This Row],[Date_Resolved]]</f>
        <v>45686</v>
      </c>
      <c r="E29" s="25">
        <v>342</v>
      </c>
      <c r="F29" s="9">
        <v>89</v>
      </c>
      <c r="G29" s="9">
        <f>Table6[[#This Row],[Quantity]]*Table6[[#This Row],[Unit Price]]</f>
        <v>30438</v>
      </c>
      <c r="H29" s="23" t="s">
        <v>44</v>
      </c>
      <c r="I29" s="23" t="s">
        <v>64</v>
      </c>
      <c r="J29" s="9" t="str">
        <f>IF(Table6[[#This Row],[Order_Status]]="Delivered","Resolved","Open")</f>
        <v>Resolved</v>
      </c>
    </row>
    <row r="30" spans="1:10" x14ac:dyDescent="0.2">
      <c r="A30" s="18" t="s">
        <v>1</v>
      </c>
      <c r="B30" s="2" t="str">
        <f>"V-"&amp;Table3[[#This Row],[Ticket_ID]]</f>
        <v>V-129</v>
      </c>
      <c r="C30" s="24">
        <f>Table3[[#This Row],[Date_Opened]]</f>
        <v>45683</v>
      </c>
      <c r="D30" s="24">
        <f>Table3[[#This Row],[Date_Resolved]]</f>
        <v>45686</v>
      </c>
      <c r="E30" s="25">
        <v>211</v>
      </c>
      <c r="F30" s="9">
        <v>32</v>
      </c>
      <c r="G30" s="9">
        <f>Table6[[#This Row],[Quantity]]*Table6[[#This Row],[Unit Price]]</f>
        <v>6752</v>
      </c>
      <c r="H30" s="23" t="s">
        <v>41</v>
      </c>
      <c r="I30" s="23" t="s">
        <v>64</v>
      </c>
      <c r="J30" s="9" t="str">
        <f>IF(Table6[[#This Row],[Order_Status]]="Delivered","Resolved","Open")</f>
        <v>Resolved</v>
      </c>
    </row>
    <row r="31" spans="1:10" x14ac:dyDescent="0.2">
      <c r="A31" s="19" t="s">
        <v>20</v>
      </c>
      <c r="B31" s="2" t="str">
        <f>"V-"&amp;Table3[[#This Row],[Ticket_ID]]</f>
        <v>V-130</v>
      </c>
      <c r="C31" s="24">
        <f>Table3[[#This Row],[Date_Opened]]</f>
        <v>45662</v>
      </c>
      <c r="D31" s="24">
        <f>Table3[[#This Row],[Date_Resolved]]</f>
        <v>45662</v>
      </c>
      <c r="E31" s="25">
        <v>457</v>
      </c>
      <c r="F31" s="9">
        <v>10</v>
      </c>
      <c r="G31" s="9">
        <f>Table6[[#This Row],[Quantity]]*Table6[[#This Row],[Unit Price]]</f>
        <v>4570</v>
      </c>
      <c r="H31" s="23" t="s">
        <v>42</v>
      </c>
      <c r="I31" s="23" t="s">
        <v>64</v>
      </c>
      <c r="J31" s="9" t="str">
        <f>IF(Table6[[#This Row],[Order_Status]]="Delivered","Resolved","Open")</f>
        <v>Resolved</v>
      </c>
    </row>
    <row r="32" spans="1:10" x14ac:dyDescent="0.2">
      <c r="A32" s="18" t="s">
        <v>3</v>
      </c>
      <c r="B32" s="2" t="str">
        <f>"V-"&amp;Table3[[#This Row],[Ticket_ID]]</f>
        <v>V-131</v>
      </c>
      <c r="C32" s="24">
        <f>Table3[[#This Row],[Date_Opened]]</f>
        <v>45685</v>
      </c>
      <c r="D32" s="24">
        <f>Table3[[#This Row],[Date_Resolved]]</f>
        <v>45689</v>
      </c>
      <c r="E32" s="25">
        <v>236</v>
      </c>
      <c r="F32" s="9">
        <v>16</v>
      </c>
      <c r="G32" s="9">
        <f>Table6[[#This Row],[Quantity]]*Table6[[#This Row],[Unit Price]]</f>
        <v>3776</v>
      </c>
      <c r="H32" s="23" t="s">
        <v>41</v>
      </c>
      <c r="I32" s="23" t="s">
        <v>64</v>
      </c>
      <c r="J32" s="9" t="str">
        <f>IF(Table6[[#This Row],[Order_Status]]="Delivered","Resolved","Open")</f>
        <v>Resolved</v>
      </c>
    </row>
    <row r="33" spans="1:10" x14ac:dyDescent="0.2">
      <c r="A33" s="19" t="s">
        <v>22</v>
      </c>
      <c r="B33" s="2" t="str">
        <f>"V-"&amp;Table3[[#This Row],[Ticket_ID]]</f>
        <v>V-132</v>
      </c>
      <c r="C33" s="24">
        <f>Table3[[#This Row],[Date_Opened]]</f>
        <v>45664</v>
      </c>
      <c r="D33" s="24">
        <f>Table3[[#This Row],[Date_Resolved]]</f>
        <v>45671</v>
      </c>
      <c r="E33" s="25">
        <v>380</v>
      </c>
      <c r="F33" s="9">
        <v>16</v>
      </c>
      <c r="G33" s="9">
        <f>Table6[[#This Row],[Quantity]]*Table6[[#This Row],[Unit Price]]</f>
        <v>6080</v>
      </c>
      <c r="H33" s="23" t="s">
        <v>42</v>
      </c>
      <c r="I33" s="23" t="s">
        <v>64</v>
      </c>
      <c r="J33" s="9" t="str">
        <f>IF(Table6[[#This Row],[Order_Status]]="Delivered","Resolved","Open")</f>
        <v>Resolved</v>
      </c>
    </row>
    <row r="34" spans="1:10" x14ac:dyDescent="0.2">
      <c r="A34" s="18" t="s">
        <v>4</v>
      </c>
      <c r="B34" s="2" t="str">
        <f>"V-"&amp;Table3[[#This Row],[Ticket_ID]]</f>
        <v>V-133</v>
      </c>
      <c r="C34" s="24">
        <f>Table3[[#This Row],[Date_Opened]]</f>
        <v>45671</v>
      </c>
      <c r="D34" s="24">
        <f>Table3[[#This Row],[Date_Resolved]]</f>
        <v>45674</v>
      </c>
      <c r="E34" s="25">
        <v>458</v>
      </c>
      <c r="F34" s="9">
        <v>16</v>
      </c>
      <c r="G34" s="9">
        <f>Table6[[#This Row],[Quantity]]*Table6[[#This Row],[Unit Price]]</f>
        <v>7328</v>
      </c>
      <c r="H34" s="23" t="s">
        <v>42</v>
      </c>
      <c r="I34" s="23" t="s">
        <v>64</v>
      </c>
      <c r="J34" s="9" t="str">
        <f>IF(Table6[[#This Row],[Order_Status]]="Delivered","Resolved","Open")</f>
        <v>Resolved</v>
      </c>
    </row>
    <row r="35" spans="1:10" x14ac:dyDescent="0.2">
      <c r="A35" s="19" t="s">
        <v>4</v>
      </c>
      <c r="B35" s="2" t="str">
        <f>"V-"&amp;Table3[[#This Row],[Ticket_ID]]</f>
        <v>V-134</v>
      </c>
      <c r="C35" s="24">
        <f>Table3[[#This Row],[Date_Opened]]</f>
        <v>45662</v>
      </c>
      <c r="D35" s="24">
        <f>Table3[[#This Row],[Date_Resolved]]</f>
        <v>45664</v>
      </c>
      <c r="E35" s="25">
        <v>251</v>
      </c>
      <c r="F35" s="9">
        <v>8</v>
      </c>
      <c r="G35" s="9">
        <f>Table6[[#This Row],[Quantity]]*Table6[[#This Row],[Unit Price]]</f>
        <v>2008</v>
      </c>
      <c r="H35" s="23" t="s">
        <v>41</v>
      </c>
      <c r="I35" s="23" t="s">
        <v>64</v>
      </c>
      <c r="J35" s="9" t="str">
        <f>IF(Table6[[#This Row],[Order_Status]]="Delivered","Resolved","Open")</f>
        <v>Resolved</v>
      </c>
    </row>
    <row r="36" spans="1:10" x14ac:dyDescent="0.2">
      <c r="A36" s="18" t="s">
        <v>21</v>
      </c>
      <c r="B36" s="2" t="str">
        <f>"V-"&amp;Table3[[#This Row],[Ticket_ID]]</f>
        <v>V-135</v>
      </c>
      <c r="C36" s="24">
        <f>Table3[[#This Row],[Date_Opened]]</f>
        <v>45668</v>
      </c>
      <c r="D36" s="24">
        <f>Table3[[#This Row],[Date_Resolved]]</f>
        <v>45671</v>
      </c>
      <c r="E36" s="25">
        <v>228</v>
      </c>
      <c r="F36" s="9">
        <v>30</v>
      </c>
      <c r="G36" s="9">
        <f>Table6[[#This Row],[Quantity]]*Table6[[#This Row],[Unit Price]]</f>
        <v>6840</v>
      </c>
      <c r="H36" s="23" t="s">
        <v>41</v>
      </c>
      <c r="I36" s="23" t="s">
        <v>67</v>
      </c>
      <c r="J36" s="9" t="str">
        <f>IF(Table6[[#This Row],[Order_Status]]="Delivered","Resolved","Open")</f>
        <v>Open</v>
      </c>
    </row>
    <row r="37" spans="1:10" x14ac:dyDescent="0.2">
      <c r="A37" s="19" t="s">
        <v>1</v>
      </c>
      <c r="B37" s="2" t="str">
        <f>"V-"&amp;Table3[[#This Row],[Ticket_ID]]</f>
        <v>V-136</v>
      </c>
      <c r="C37" s="24">
        <f>Table3[[#This Row],[Date_Opened]]</f>
        <v>45665</v>
      </c>
      <c r="D37" s="24">
        <f>Table3[[#This Row],[Date_Resolved]]</f>
        <v>45672</v>
      </c>
      <c r="E37" s="25">
        <v>496</v>
      </c>
      <c r="F37" s="9">
        <v>49</v>
      </c>
      <c r="G37" s="9">
        <f>Table6[[#This Row],[Quantity]]*Table6[[#This Row],[Unit Price]]</f>
        <v>24304</v>
      </c>
      <c r="H37" s="23" t="s">
        <v>44</v>
      </c>
      <c r="I37" s="23" t="s">
        <v>64</v>
      </c>
      <c r="J37" s="9" t="str">
        <f>IF(Table6[[#This Row],[Order_Status]]="Delivered","Resolved","Open")</f>
        <v>Resolved</v>
      </c>
    </row>
    <row r="38" spans="1:10" x14ac:dyDescent="0.2">
      <c r="A38" s="18" t="s">
        <v>20</v>
      </c>
      <c r="B38" s="2" t="str">
        <f>"V-"&amp;Table3[[#This Row],[Ticket_ID]]</f>
        <v>V-137</v>
      </c>
      <c r="C38" s="24">
        <f>Table3[[#This Row],[Date_Opened]]</f>
        <v>45686</v>
      </c>
      <c r="D38" s="24">
        <f>Table3[[#This Row],[Date_Resolved]]</f>
        <v>45686</v>
      </c>
      <c r="E38" s="25">
        <v>356</v>
      </c>
      <c r="F38" s="9">
        <v>18</v>
      </c>
      <c r="G38" s="9">
        <f>Table6[[#This Row],[Quantity]]*Table6[[#This Row],[Unit Price]]</f>
        <v>6408</v>
      </c>
      <c r="H38" s="23" t="s">
        <v>42</v>
      </c>
      <c r="I38" s="23" t="s">
        <v>64</v>
      </c>
      <c r="J38" s="9" t="str">
        <f>IF(Table6[[#This Row],[Order_Status]]="Delivered","Resolved","Open")</f>
        <v>Resolved</v>
      </c>
    </row>
    <row r="39" spans="1:10" x14ac:dyDescent="0.2">
      <c r="A39" s="19" t="s">
        <v>22</v>
      </c>
      <c r="B39" s="2" t="str">
        <f>"V-"&amp;Table3[[#This Row],[Ticket_ID]]</f>
        <v>V-138</v>
      </c>
      <c r="C39" s="24">
        <f>Table3[[#This Row],[Date_Opened]]</f>
        <v>45667</v>
      </c>
      <c r="D39" s="24">
        <f>Table3[[#This Row],[Date_Resolved]]</f>
        <v>45668</v>
      </c>
      <c r="E39" s="25">
        <v>184</v>
      </c>
      <c r="F39" s="9">
        <v>39</v>
      </c>
      <c r="G39" s="9">
        <f>Table6[[#This Row],[Quantity]]*Table6[[#This Row],[Unit Price]]</f>
        <v>7176</v>
      </c>
      <c r="H39" s="23" t="s">
        <v>40</v>
      </c>
      <c r="I39" s="23" t="s">
        <v>64</v>
      </c>
      <c r="J39" s="9" t="str">
        <f>IF(Table6[[#This Row],[Order_Status]]="Delivered","Resolved","Open")</f>
        <v>Resolved</v>
      </c>
    </row>
    <row r="40" spans="1:10" x14ac:dyDescent="0.2">
      <c r="A40" s="18" t="s">
        <v>3</v>
      </c>
      <c r="B40" s="2" t="str">
        <f>"V-"&amp;Table3[[#This Row],[Ticket_ID]]</f>
        <v>V-139</v>
      </c>
      <c r="C40" s="24">
        <f>Table3[[#This Row],[Date_Opened]]</f>
        <v>45664</v>
      </c>
      <c r="D40" s="24">
        <f>Table3[[#This Row],[Date_Resolved]]</f>
        <v>45668</v>
      </c>
      <c r="E40" s="25">
        <v>182</v>
      </c>
      <c r="F40" s="9">
        <v>17</v>
      </c>
      <c r="G40" s="9">
        <f>Table6[[#This Row],[Quantity]]*Table6[[#This Row],[Unit Price]]</f>
        <v>3094</v>
      </c>
      <c r="H40" s="23" t="s">
        <v>41</v>
      </c>
      <c r="I40" s="23" t="s">
        <v>64</v>
      </c>
      <c r="J40" s="9" t="str">
        <f>IF(Table6[[#This Row],[Order_Status]]="Delivered","Resolved","Open")</f>
        <v>Resolved</v>
      </c>
    </row>
    <row r="41" spans="1:10" x14ac:dyDescent="0.2">
      <c r="A41" s="19" t="s">
        <v>21</v>
      </c>
      <c r="B41" s="2" t="str">
        <f>"V-"&amp;Table3[[#This Row],[Ticket_ID]]</f>
        <v>V-140</v>
      </c>
      <c r="C41" s="24">
        <f>Table3[[#This Row],[Date_Opened]]</f>
        <v>45661</v>
      </c>
      <c r="D41" s="24">
        <f>Table3[[#This Row],[Date_Resolved]]</f>
        <v>45661</v>
      </c>
      <c r="E41" s="25">
        <v>544</v>
      </c>
      <c r="F41" s="9">
        <v>112</v>
      </c>
      <c r="G41" s="9">
        <f>Table6[[#This Row],[Quantity]]*Table6[[#This Row],[Unit Price]]</f>
        <v>60928</v>
      </c>
      <c r="H41" s="23" t="s">
        <v>44</v>
      </c>
      <c r="I41" s="23" t="s">
        <v>64</v>
      </c>
      <c r="J41" s="9" t="str">
        <f>IF(Table6[[#This Row],[Order_Status]]="Delivered","Resolved","Open")</f>
        <v>Resolved</v>
      </c>
    </row>
    <row r="42" spans="1:10" x14ac:dyDescent="0.2">
      <c r="A42" s="18" t="s">
        <v>22</v>
      </c>
      <c r="B42" s="2" t="str">
        <f>"V-"&amp;Table3[[#This Row],[Ticket_ID]]</f>
        <v>V-141</v>
      </c>
      <c r="C42" s="24">
        <f>Table3[[#This Row],[Date_Opened]]</f>
        <v>45678</v>
      </c>
      <c r="D42" s="24">
        <f>Table3[[#This Row],[Date_Resolved]]</f>
        <v>45685</v>
      </c>
      <c r="E42" s="25">
        <v>646</v>
      </c>
      <c r="F42" s="9">
        <v>21</v>
      </c>
      <c r="G42" s="9">
        <f>Table6[[#This Row],[Quantity]]*Table6[[#This Row],[Unit Price]]</f>
        <v>13566</v>
      </c>
      <c r="H42" s="23" t="s">
        <v>44</v>
      </c>
      <c r="I42" s="23" t="s">
        <v>64</v>
      </c>
      <c r="J42" s="9" t="str">
        <f>IF(Table6[[#This Row],[Order_Status]]="Delivered","Resolved","Open")</f>
        <v>Resolved</v>
      </c>
    </row>
    <row r="43" spans="1:10" x14ac:dyDescent="0.2">
      <c r="A43" s="19" t="s">
        <v>23</v>
      </c>
      <c r="B43" s="2" t="str">
        <f>"V-"&amp;Table3[[#This Row],[Ticket_ID]]</f>
        <v>V-142</v>
      </c>
      <c r="C43" s="24">
        <f>Table3[[#This Row],[Date_Opened]]</f>
        <v>45671</v>
      </c>
      <c r="D43" s="24">
        <f>Table3[[#This Row],[Date_Resolved]]</f>
        <v>45675</v>
      </c>
      <c r="E43" s="25">
        <v>422</v>
      </c>
      <c r="F43" s="9">
        <v>27</v>
      </c>
      <c r="G43" s="9">
        <f>Table6[[#This Row],[Quantity]]*Table6[[#This Row],[Unit Price]]</f>
        <v>11394</v>
      </c>
      <c r="H43" s="23" t="s">
        <v>44</v>
      </c>
      <c r="I43" s="23" t="s">
        <v>64</v>
      </c>
      <c r="J43" s="9" t="str">
        <f>IF(Table6[[#This Row],[Order_Status]]="Delivered","Resolved","Open")</f>
        <v>Resolved</v>
      </c>
    </row>
    <row r="44" spans="1:10" x14ac:dyDescent="0.2">
      <c r="A44" s="18" t="s">
        <v>2</v>
      </c>
      <c r="B44" s="2" t="str">
        <f>"V-"&amp;Table3[[#This Row],[Ticket_ID]]</f>
        <v>V-143</v>
      </c>
      <c r="C44" s="24">
        <f>Table3[[#This Row],[Date_Opened]]</f>
        <v>45666</v>
      </c>
      <c r="D44" s="24">
        <f>Table3[[#This Row],[Date_Resolved]]</f>
        <v>45670</v>
      </c>
      <c r="E44" s="25">
        <v>174</v>
      </c>
      <c r="F44" s="9">
        <v>18</v>
      </c>
      <c r="G44" s="9">
        <f>Table6[[#This Row],[Quantity]]*Table6[[#This Row],[Unit Price]]</f>
        <v>3132</v>
      </c>
      <c r="H44" s="23" t="s">
        <v>43</v>
      </c>
      <c r="I44" s="23" t="s">
        <v>67</v>
      </c>
      <c r="J44" s="9" t="str">
        <f>IF(Table6[[#This Row],[Order_Status]]="Delivered","Resolved","Open")</f>
        <v>Open</v>
      </c>
    </row>
    <row r="45" spans="1:10" x14ac:dyDescent="0.2">
      <c r="A45" s="19" t="s">
        <v>3</v>
      </c>
      <c r="B45" s="2" t="str">
        <f>"V-"&amp;Table3[[#This Row],[Ticket_ID]]</f>
        <v>V-144</v>
      </c>
      <c r="C45" s="24">
        <f>Table3[[#This Row],[Date_Opened]]</f>
        <v>45670</v>
      </c>
      <c r="D45" s="24">
        <f>Table3[[#This Row],[Date_Resolved]]</f>
        <v>45676</v>
      </c>
      <c r="E45" s="25">
        <v>280</v>
      </c>
      <c r="F45" s="9">
        <v>18</v>
      </c>
      <c r="G45" s="9">
        <f>Table6[[#This Row],[Quantity]]*Table6[[#This Row],[Unit Price]]</f>
        <v>5040</v>
      </c>
      <c r="H45" s="23" t="s">
        <v>43</v>
      </c>
      <c r="I45" s="23" t="s">
        <v>64</v>
      </c>
      <c r="J45" s="9" t="str">
        <f>IF(Table6[[#This Row],[Order_Status]]="Delivered","Resolved","Open")</f>
        <v>Resolved</v>
      </c>
    </row>
    <row r="46" spans="1:10" x14ac:dyDescent="0.2">
      <c r="A46" s="18" t="s">
        <v>1</v>
      </c>
      <c r="B46" s="2" t="str">
        <f>"V-"&amp;Table3[[#This Row],[Ticket_ID]]</f>
        <v>V-145</v>
      </c>
      <c r="C46" s="24">
        <f>Table3[[#This Row],[Date_Opened]]</f>
        <v>45681</v>
      </c>
      <c r="D46" s="24">
        <f>Table3[[#This Row],[Date_Resolved]]</f>
        <v>45682</v>
      </c>
      <c r="E46" s="25">
        <v>229</v>
      </c>
      <c r="F46" s="9">
        <v>6</v>
      </c>
      <c r="G46" s="9">
        <f>Table6[[#This Row],[Quantity]]*Table6[[#This Row],[Unit Price]]</f>
        <v>1374</v>
      </c>
      <c r="H46" s="23" t="s">
        <v>43</v>
      </c>
      <c r="I46" s="23" t="s">
        <v>64</v>
      </c>
      <c r="J46" s="9" t="str">
        <f>IF(Table6[[#This Row],[Order_Status]]="Delivered","Resolved","Open")</f>
        <v>Resolved</v>
      </c>
    </row>
    <row r="47" spans="1:10" x14ac:dyDescent="0.2">
      <c r="A47" s="19" t="s">
        <v>1</v>
      </c>
      <c r="B47" s="2" t="str">
        <f>"V-"&amp;Table3[[#This Row],[Ticket_ID]]</f>
        <v>V-146</v>
      </c>
      <c r="C47" s="24">
        <f>Table3[[#This Row],[Date_Opened]]</f>
        <v>45683</v>
      </c>
      <c r="D47" s="24">
        <f>Table3[[#This Row],[Date_Resolved]]</f>
        <v>45686</v>
      </c>
      <c r="E47" s="25">
        <v>326</v>
      </c>
      <c r="F47" s="9">
        <v>24</v>
      </c>
      <c r="G47" s="9">
        <f>Table6[[#This Row],[Quantity]]*Table6[[#This Row],[Unit Price]]</f>
        <v>7824</v>
      </c>
      <c r="H47" s="23" t="s">
        <v>43</v>
      </c>
      <c r="I47" s="23" t="s">
        <v>64</v>
      </c>
      <c r="J47" s="9" t="str">
        <f>IF(Table6[[#This Row],[Order_Status]]="Delivered","Resolved","Open")</f>
        <v>Resolved</v>
      </c>
    </row>
    <row r="48" spans="1:10" x14ac:dyDescent="0.2">
      <c r="A48" s="18" t="s">
        <v>22</v>
      </c>
      <c r="B48" s="2" t="str">
        <f>"V-"&amp;Table3[[#This Row],[Ticket_ID]]</f>
        <v>V-147</v>
      </c>
      <c r="C48" s="24">
        <f>Table3[[#This Row],[Date_Opened]]</f>
        <v>45683</v>
      </c>
      <c r="D48" s="24">
        <f>Table3[[#This Row],[Date_Resolved]]</f>
        <v>45687</v>
      </c>
      <c r="E48" s="25">
        <v>207</v>
      </c>
      <c r="F48" s="9">
        <v>36</v>
      </c>
      <c r="G48" s="9">
        <f>Table6[[#This Row],[Quantity]]*Table6[[#This Row],[Unit Price]]</f>
        <v>7452</v>
      </c>
      <c r="H48" s="23" t="s">
        <v>43</v>
      </c>
      <c r="I48" s="23" t="s">
        <v>64</v>
      </c>
      <c r="J48" s="9" t="str">
        <f>IF(Table6[[#This Row],[Order_Status]]="Delivered","Resolved","Open")</f>
        <v>Resolved</v>
      </c>
    </row>
    <row r="49" spans="1:10" x14ac:dyDescent="0.2">
      <c r="A49" s="19" t="s">
        <v>1</v>
      </c>
      <c r="B49" s="2" t="str">
        <f>"V-"&amp;Table3[[#This Row],[Ticket_ID]]</f>
        <v>V-148</v>
      </c>
      <c r="C49" s="24">
        <f>Table3[[#This Row],[Date_Opened]]</f>
        <v>45674</v>
      </c>
      <c r="D49" s="24">
        <f>Table3[[#This Row],[Date_Resolved]]</f>
        <v>45677</v>
      </c>
      <c r="E49" s="25">
        <v>209</v>
      </c>
      <c r="F49" s="9">
        <v>15</v>
      </c>
      <c r="G49" s="9">
        <f>Table6[[#This Row],[Quantity]]*Table6[[#This Row],[Unit Price]]</f>
        <v>3135</v>
      </c>
      <c r="H49" s="23" t="s">
        <v>41</v>
      </c>
      <c r="I49" s="23" t="s">
        <v>64</v>
      </c>
      <c r="J49" s="9" t="str">
        <f>IF(Table6[[#This Row],[Order_Status]]="Delivered","Resolved","Open")</f>
        <v>Resolved</v>
      </c>
    </row>
    <row r="50" spans="1:10" x14ac:dyDescent="0.2">
      <c r="A50" s="18" t="s">
        <v>21</v>
      </c>
      <c r="B50" s="2" t="str">
        <f>"V-"&amp;Table3[[#This Row],[Ticket_ID]]</f>
        <v>V-149</v>
      </c>
      <c r="C50" s="24">
        <f>Table3[[#This Row],[Date_Opened]]</f>
        <v>45680</v>
      </c>
      <c r="D50" s="24">
        <f>Table3[[#This Row],[Date_Resolved]]</f>
        <v>45684</v>
      </c>
      <c r="E50" s="25">
        <v>165</v>
      </c>
      <c r="F50" s="9">
        <v>19</v>
      </c>
      <c r="G50" s="9">
        <f>Table6[[#This Row],[Quantity]]*Table6[[#This Row],[Unit Price]]</f>
        <v>3135</v>
      </c>
      <c r="H50" s="23" t="s">
        <v>43</v>
      </c>
      <c r="I50" s="23" t="s">
        <v>64</v>
      </c>
      <c r="J50" s="9" t="str">
        <f>IF(Table6[[#This Row],[Order_Status]]="Delivered","Resolved","Open")</f>
        <v>Resolved</v>
      </c>
    </row>
    <row r="51" spans="1:10" x14ac:dyDescent="0.2">
      <c r="A51" s="19" t="s">
        <v>20</v>
      </c>
      <c r="B51" s="2" t="str">
        <f>"V-"&amp;Table3[[#This Row],[Ticket_ID]]</f>
        <v>V-150</v>
      </c>
      <c r="C51" s="24">
        <f>Table3[[#This Row],[Date_Opened]]</f>
        <v>45685</v>
      </c>
      <c r="D51" s="24">
        <f>Table3[[#This Row],[Date_Resolved]]</f>
        <v>45690</v>
      </c>
      <c r="E51" s="25">
        <v>320</v>
      </c>
      <c r="F51" s="9">
        <v>29</v>
      </c>
      <c r="G51" s="9">
        <f>Table6[[#This Row],[Quantity]]*Table6[[#This Row],[Unit Price]]</f>
        <v>9280</v>
      </c>
      <c r="H51" s="23" t="s">
        <v>43</v>
      </c>
      <c r="I51" s="23" t="s">
        <v>64</v>
      </c>
      <c r="J51" s="9" t="str">
        <f>IF(Table6[[#This Row],[Order_Status]]="Delivered","Resolved","Open")</f>
        <v>Resolved</v>
      </c>
    </row>
    <row r="52" spans="1:10" x14ac:dyDescent="0.2">
      <c r="A52" s="18" t="s">
        <v>23</v>
      </c>
      <c r="B52" s="2" t="str">
        <f>"V-"&amp;Table3[[#This Row],[Ticket_ID]]</f>
        <v>V-151</v>
      </c>
      <c r="C52" s="24">
        <f>Table3[[#This Row],[Date_Opened]]</f>
        <v>45677</v>
      </c>
      <c r="D52" s="24">
        <f>Table3[[#This Row],[Date_Resolved]]</f>
        <v>45679</v>
      </c>
      <c r="E52" s="25">
        <v>304</v>
      </c>
      <c r="F52" s="9">
        <v>12</v>
      </c>
      <c r="G52" s="9">
        <f>Table6[[#This Row],[Quantity]]*Table6[[#This Row],[Unit Price]]</f>
        <v>3648</v>
      </c>
      <c r="H52" s="23" t="s">
        <v>43</v>
      </c>
      <c r="I52" s="23" t="s">
        <v>64</v>
      </c>
      <c r="J52" s="9" t="str">
        <f>IF(Table6[[#This Row],[Order_Status]]="Delivered","Resolved","Open")</f>
        <v>Resolved</v>
      </c>
    </row>
    <row r="53" spans="1:10" x14ac:dyDescent="0.2">
      <c r="A53" s="19" t="s">
        <v>4</v>
      </c>
      <c r="B53" s="2" t="str">
        <f>"V-"&amp;Table3[[#This Row],[Ticket_ID]]</f>
        <v>V-152</v>
      </c>
      <c r="C53" s="24">
        <f>Table3[[#This Row],[Date_Opened]]</f>
        <v>45659</v>
      </c>
      <c r="D53" s="24">
        <f>Table3[[#This Row],[Date_Resolved]]</f>
        <v>45665</v>
      </c>
      <c r="E53" s="25">
        <v>164</v>
      </c>
      <c r="F53" s="9">
        <v>38</v>
      </c>
      <c r="G53" s="9">
        <f>Table6[[#This Row],[Quantity]]*Table6[[#This Row],[Unit Price]]</f>
        <v>6232</v>
      </c>
      <c r="H53" s="23" t="s">
        <v>43</v>
      </c>
      <c r="I53" s="23" t="s">
        <v>64</v>
      </c>
      <c r="J53" s="9" t="str">
        <f>IF(Table6[[#This Row],[Order_Status]]="Delivered","Resolved","Open")</f>
        <v>Resolved</v>
      </c>
    </row>
    <row r="54" spans="1:10" x14ac:dyDescent="0.2">
      <c r="A54" s="18" t="s">
        <v>23</v>
      </c>
      <c r="B54" s="2" t="str">
        <f>"V-"&amp;Table3[[#This Row],[Ticket_ID]]</f>
        <v>V-153</v>
      </c>
      <c r="C54" s="24">
        <f>Table3[[#This Row],[Date_Opened]]</f>
        <v>45666</v>
      </c>
      <c r="D54" s="24">
        <f>Table3[[#This Row],[Date_Resolved]]</f>
        <v>45667</v>
      </c>
      <c r="E54" s="25">
        <v>193</v>
      </c>
      <c r="F54" s="9">
        <v>11</v>
      </c>
      <c r="G54" s="9">
        <f>Table6[[#This Row],[Quantity]]*Table6[[#This Row],[Unit Price]]</f>
        <v>2123</v>
      </c>
      <c r="H54" s="23" t="s">
        <v>41</v>
      </c>
      <c r="I54" s="23" t="s">
        <v>64</v>
      </c>
      <c r="J54" s="9" t="str">
        <f>IF(Table6[[#This Row],[Order_Status]]="Delivered","Resolved","Open")</f>
        <v>Resolved</v>
      </c>
    </row>
    <row r="55" spans="1:10" x14ac:dyDescent="0.2">
      <c r="A55" s="19" t="s">
        <v>23</v>
      </c>
      <c r="B55" s="2" t="str">
        <f>"V-"&amp;Table3[[#This Row],[Ticket_ID]]</f>
        <v>V-154</v>
      </c>
      <c r="C55" s="24">
        <f>Table3[[#This Row],[Date_Opened]]</f>
        <v>45672</v>
      </c>
      <c r="D55" s="24">
        <f>Table3[[#This Row],[Date_Resolved]]</f>
        <v>45679</v>
      </c>
      <c r="E55" s="25">
        <v>132</v>
      </c>
      <c r="F55" s="9">
        <v>15</v>
      </c>
      <c r="G55" s="9">
        <f>Table6[[#This Row],[Quantity]]*Table6[[#This Row],[Unit Price]]</f>
        <v>1980</v>
      </c>
      <c r="H55" s="23" t="s">
        <v>41</v>
      </c>
      <c r="I55" s="23" t="s">
        <v>64</v>
      </c>
      <c r="J55" s="9" t="str">
        <f>IF(Table6[[#This Row],[Order_Status]]="Delivered","Resolved","Open")</f>
        <v>Resolved</v>
      </c>
    </row>
    <row r="56" spans="1:10" x14ac:dyDescent="0.2">
      <c r="A56" s="18" t="s">
        <v>22</v>
      </c>
      <c r="B56" s="2" t="str">
        <f>"V-"&amp;Table3[[#This Row],[Ticket_ID]]</f>
        <v>V-155</v>
      </c>
      <c r="C56" s="24">
        <f>Table3[[#This Row],[Date_Opened]]</f>
        <v>45677</v>
      </c>
      <c r="D56" s="24">
        <f>Table3[[#This Row],[Date_Resolved]]</f>
        <v>45681</v>
      </c>
      <c r="E56" s="25">
        <v>202</v>
      </c>
      <c r="F56" s="9">
        <v>11</v>
      </c>
      <c r="G56" s="9">
        <f>Table6[[#This Row],[Quantity]]*Table6[[#This Row],[Unit Price]]</f>
        <v>2222</v>
      </c>
      <c r="H56" s="23" t="s">
        <v>41</v>
      </c>
      <c r="I56" s="23" t="s">
        <v>64</v>
      </c>
      <c r="J56" s="9" t="str">
        <f>IF(Table6[[#This Row],[Order_Status]]="Delivered","Resolved","Open")</f>
        <v>Resolved</v>
      </c>
    </row>
    <row r="57" spans="1:10" x14ac:dyDescent="0.2">
      <c r="A57" s="19" t="s">
        <v>2</v>
      </c>
      <c r="B57" s="2" t="str">
        <f>"V-"&amp;Table3[[#This Row],[Ticket_ID]]</f>
        <v>V-156</v>
      </c>
      <c r="C57" s="24">
        <f>Table3[[#This Row],[Date_Opened]]</f>
        <v>45665</v>
      </c>
      <c r="D57" s="24">
        <f>Table3[[#This Row],[Date_Resolved]]</f>
        <v>45667</v>
      </c>
      <c r="E57" s="25">
        <v>412</v>
      </c>
      <c r="F57" s="9">
        <v>19</v>
      </c>
      <c r="G57" s="9">
        <f>Table6[[#This Row],[Quantity]]*Table6[[#This Row],[Unit Price]]</f>
        <v>7828</v>
      </c>
      <c r="H57" s="23" t="s">
        <v>42</v>
      </c>
      <c r="I57" s="23" t="s">
        <v>64</v>
      </c>
      <c r="J57" s="9" t="str">
        <f>IF(Table6[[#This Row],[Order_Status]]="Delivered","Resolved","Open")</f>
        <v>Resolved</v>
      </c>
    </row>
    <row r="58" spans="1:10" x14ac:dyDescent="0.2">
      <c r="A58" s="18" t="s">
        <v>22</v>
      </c>
      <c r="B58" s="2" t="str">
        <f>"V-"&amp;Table3[[#This Row],[Ticket_ID]]</f>
        <v>V-157</v>
      </c>
      <c r="C58" s="24">
        <f>Table3[[#This Row],[Date_Opened]]</f>
        <v>45674</v>
      </c>
      <c r="D58" s="24">
        <f>Table3[[#This Row],[Date_Resolved]]</f>
        <v>45681</v>
      </c>
      <c r="E58" s="25">
        <v>308</v>
      </c>
      <c r="F58" s="9">
        <v>71</v>
      </c>
      <c r="G58" s="9">
        <f>Table6[[#This Row],[Quantity]]*Table6[[#This Row],[Unit Price]]</f>
        <v>21868</v>
      </c>
      <c r="H58" s="23" t="s">
        <v>44</v>
      </c>
      <c r="I58" s="23" t="s">
        <v>64</v>
      </c>
      <c r="J58" s="9" t="str">
        <f>IF(Table6[[#This Row],[Order_Status]]="Delivered","Resolved","Open")</f>
        <v>Resolved</v>
      </c>
    </row>
    <row r="59" spans="1:10" x14ac:dyDescent="0.2">
      <c r="A59" s="19" t="s">
        <v>23</v>
      </c>
      <c r="B59" s="2" t="str">
        <f>"V-"&amp;Table3[[#This Row],[Ticket_ID]]</f>
        <v>V-158</v>
      </c>
      <c r="C59" s="24">
        <f>Table3[[#This Row],[Date_Opened]]</f>
        <v>45683</v>
      </c>
      <c r="D59" s="24">
        <f>Table3[[#This Row],[Date_Resolved]]</f>
        <v>45689</v>
      </c>
      <c r="E59" s="25">
        <v>191</v>
      </c>
      <c r="F59" s="9">
        <v>22</v>
      </c>
      <c r="G59" s="9">
        <f>Table6[[#This Row],[Quantity]]*Table6[[#This Row],[Unit Price]]</f>
        <v>4202</v>
      </c>
      <c r="H59" s="23" t="s">
        <v>40</v>
      </c>
      <c r="I59" s="23" t="s">
        <v>67</v>
      </c>
      <c r="J59" s="9" t="str">
        <f>IF(Table6[[#This Row],[Order_Status]]="Delivered","Resolved","Open")</f>
        <v>Open</v>
      </c>
    </row>
    <row r="60" spans="1:10" x14ac:dyDescent="0.2">
      <c r="A60" s="18" t="s">
        <v>22</v>
      </c>
      <c r="B60" s="2" t="str">
        <f>"V-"&amp;Table3[[#This Row],[Ticket_ID]]</f>
        <v>V-159</v>
      </c>
      <c r="C60" s="24">
        <f>Table3[[#This Row],[Date_Opened]]</f>
        <v>45673</v>
      </c>
      <c r="D60" s="24">
        <f>Table3[[#This Row],[Date_Resolved]]</f>
        <v>45679</v>
      </c>
      <c r="E60" s="25">
        <v>192</v>
      </c>
      <c r="F60" s="9">
        <v>45</v>
      </c>
      <c r="G60" s="9">
        <f>Table6[[#This Row],[Quantity]]*Table6[[#This Row],[Unit Price]]</f>
        <v>8640</v>
      </c>
      <c r="H60" s="23" t="s">
        <v>40</v>
      </c>
      <c r="I60" s="23" t="s">
        <v>64</v>
      </c>
      <c r="J60" s="9" t="str">
        <f>IF(Table6[[#This Row],[Order_Status]]="Delivered","Resolved","Open")</f>
        <v>Resolved</v>
      </c>
    </row>
    <row r="61" spans="1:10" x14ac:dyDescent="0.2">
      <c r="A61" s="19" t="s">
        <v>4</v>
      </c>
      <c r="B61" s="2" t="str">
        <f>"V-"&amp;Table3[[#This Row],[Ticket_ID]]</f>
        <v>V-160</v>
      </c>
      <c r="C61" s="24">
        <f>Table3[[#This Row],[Date_Opened]]</f>
        <v>45674</v>
      </c>
      <c r="D61" s="24">
        <f>Table3[[#This Row],[Date_Resolved]]</f>
        <v>45675</v>
      </c>
      <c r="E61" s="25">
        <v>337</v>
      </c>
      <c r="F61" s="9">
        <v>35</v>
      </c>
      <c r="G61" s="9">
        <f>Table6[[#This Row],[Quantity]]*Table6[[#This Row],[Unit Price]]</f>
        <v>11795</v>
      </c>
      <c r="H61" s="23" t="s">
        <v>43</v>
      </c>
      <c r="I61" s="23" t="s">
        <v>64</v>
      </c>
      <c r="J61" s="9" t="str">
        <f>IF(Table6[[#This Row],[Order_Status]]="Delivered","Resolved","Open")</f>
        <v>Resolved</v>
      </c>
    </row>
    <row r="62" spans="1:10" x14ac:dyDescent="0.2">
      <c r="A62" s="18" t="s">
        <v>4</v>
      </c>
      <c r="B62" s="2" t="str">
        <f>"V-"&amp;Table3[[#This Row],[Ticket_ID]]</f>
        <v>V-161</v>
      </c>
      <c r="C62" s="24">
        <f>Table3[[#This Row],[Date_Opened]]</f>
        <v>45667</v>
      </c>
      <c r="D62" s="24">
        <f>Table3[[#This Row],[Date_Resolved]]</f>
        <v>45671</v>
      </c>
      <c r="E62" s="25">
        <v>621</v>
      </c>
      <c r="F62" s="9">
        <v>65</v>
      </c>
      <c r="G62" s="9">
        <f>Table6[[#This Row],[Quantity]]*Table6[[#This Row],[Unit Price]]</f>
        <v>40365</v>
      </c>
      <c r="H62" s="23" t="s">
        <v>44</v>
      </c>
      <c r="I62" s="23" t="s">
        <v>64</v>
      </c>
      <c r="J62" s="9" t="str">
        <f>IF(Table6[[#This Row],[Order_Status]]="Delivered","Resolved","Open")</f>
        <v>Resolved</v>
      </c>
    </row>
    <row r="63" spans="1:10" x14ac:dyDescent="0.2">
      <c r="A63" s="19" t="s">
        <v>22</v>
      </c>
      <c r="B63" s="2" t="str">
        <f>"V-"&amp;Table3[[#This Row],[Ticket_ID]]</f>
        <v>V-162</v>
      </c>
      <c r="C63" s="24">
        <f>Table3[[#This Row],[Date_Opened]]</f>
        <v>45679</v>
      </c>
      <c r="D63" s="24">
        <f>Table3[[#This Row],[Date_Resolved]]</f>
        <v>45682</v>
      </c>
      <c r="E63" s="25">
        <v>435</v>
      </c>
      <c r="F63" s="9">
        <v>10</v>
      </c>
      <c r="G63" s="9">
        <f>Table6[[#This Row],[Quantity]]*Table6[[#This Row],[Unit Price]]</f>
        <v>4350</v>
      </c>
      <c r="H63" s="23" t="s">
        <v>42</v>
      </c>
      <c r="I63" s="23" t="s">
        <v>64</v>
      </c>
      <c r="J63" s="9" t="str">
        <f>IF(Table6[[#This Row],[Order_Status]]="Delivered","Resolved","Open")</f>
        <v>Resolved</v>
      </c>
    </row>
    <row r="64" spans="1:10" x14ac:dyDescent="0.2">
      <c r="A64" s="18" t="s">
        <v>22</v>
      </c>
      <c r="B64" s="2" t="str">
        <f>"V-"&amp;Table3[[#This Row],[Ticket_ID]]</f>
        <v>V-163</v>
      </c>
      <c r="C64" s="24">
        <f>Table3[[#This Row],[Date_Opened]]</f>
        <v>45677</v>
      </c>
      <c r="D64" s="24">
        <f>Table3[[#This Row],[Date_Resolved]]</f>
        <v>45679</v>
      </c>
      <c r="E64" s="25">
        <v>463</v>
      </c>
      <c r="F64" s="9">
        <v>15</v>
      </c>
      <c r="G64" s="9">
        <f>Table6[[#This Row],[Quantity]]*Table6[[#This Row],[Unit Price]]</f>
        <v>6945</v>
      </c>
      <c r="H64" s="23" t="s">
        <v>42</v>
      </c>
      <c r="I64" s="23" t="s">
        <v>64</v>
      </c>
      <c r="J64" s="9" t="str">
        <f>IF(Table6[[#This Row],[Order_Status]]="Delivered","Resolved","Open")</f>
        <v>Resolved</v>
      </c>
    </row>
    <row r="65" spans="1:10" x14ac:dyDescent="0.2">
      <c r="A65" s="19" t="s">
        <v>4</v>
      </c>
      <c r="B65" s="2" t="str">
        <f>"V-"&amp;Table3[[#This Row],[Ticket_ID]]</f>
        <v>V-164</v>
      </c>
      <c r="C65" s="24">
        <f>Table3[[#This Row],[Date_Opened]]</f>
        <v>45668</v>
      </c>
      <c r="D65" s="24">
        <f>Table3[[#This Row],[Date_Resolved]]</f>
        <v>45674</v>
      </c>
      <c r="E65" s="25">
        <v>148</v>
      </c>
      <c r="F65" s="9">
        <v>27</v>
      </c>
      <c r="G65" s="9">
        <f>Table6[[#This Row],[Quantity]]*Table6[[#This Row],[Unit Price]]</f>
        <v>3996</v>
      </c>
      <c r="H65" s="23" t="s">
        <v>41</v>
      </c>
      <c r="I65" s="23" t="s">
        <v>64</v>
      </c>
      <c r="J65" s="9" t="str">
        <f>IF(Table6[[#This Row],[Order_Status]]="Delivered","Resolved","Open")</f>
        <v>Resolved</v>
      </c>
    </row>
    <row r="66" spans="1:10" x14ac:dyDescent="0.2">
      <c r="A66" s="18" t="s">
        <v>4</v>
      </c>
      <c r="B66" s="2" t="str">
        <f>"V-"&amp;Table3[[#This Row],[Ticket_ID]]</f>
        <v>V-165</v>
      </c>
      <c r="C66" s="24">
        <f>Table3[[#This Row],[Date_Opened]]</f>
        <v>45684</v>
      </c>
      <c r="D66" s="24">
        <f>Table3[[#This Row],[Date_Resolved]]</f>
        <v>45688</v>
      </c>
      <c r="E66" s="25">
        <v>247</v>
      </c>
      <c r="F66" s="9">
        <v>8</v>
      </c>
      <c r="G66" s="9">
        <f>Table6[[#This Row],[Quantity]]*Table6[[#This Row],[Unit Price]]</f>
        <v>1976</v>
      </c>
      <c r="H66" s="23" t="s">
        <v>43</v>
      </c>
      <c r="I66" s="23" t="s">
        <v>64</v>
      </c>
      <c r="J66" s="9" t="str">
        <f>IF(Table6[[#This Row],[Order_Status]]="Delivered","Resolved","Open")</f>
        <v>Resolved</v>
      </c>
    </row>
    <row r="67" spans="1:10" x14ac:dyDescent="0.2">
      <c r="A67" s="19" t="s">
        <v>20</v>
      </c>
      <c r="B67" s="2" t="str">
        <f>"V-"&amp;Table3[[#This Row],[Ticket_ID]]</f>
        <v>V-166</v>
      </c>
      <c r="C67" s="24">
        <f>Table3[[#This Row],[Date_Opened]]</f>
        <v>45672</v>
      </c>
      <c r="D67" s="24">
        <f>Table3[[#This Row],[Date_Resolved]]</f>
        <v>45678</v>
      </c>
      <c r="E67" s="25">
        <v>604</v>
      </c>
      <c r="F67" s="9">
        <v>36</v>
      </c>
      <c r="G67" s="9">
        <f>Table6[[#This Row],[Quantity]]*Table6[[#This Row],[Unit Price]]</f>
        <v>21744</v>
      </c>
      <c r="H67" s="23" t="s">
        <v>44</v>
      </c>
      <c r="I67" s="23" t="s">
        <v>64</v>
      </c>
      <c r="J67" s="9" t="str">
        <f>IF(Table6[[#This Row],[Order_Status]]="Delivered","Resolved","Open")</f>
        <v>Resolved</v>
      </c>
    </row>
    <row r="68" spans="1:10" x14ac:dyDescent="0.2">
      <c r="A68" s="18" t="s">
        <v>3</v>
      </c>
      <c r="B68" s="2" t="str">
        <f>"V-"&amp;Table3[[#This Row],[Ticket_ID]]</f>
        <v>V-167</v>
      </c>
      <c r="C68" s="24">
        <f>Table3[[#This Row],[Date_Opened]]</f>
        <v>45660</v>
      </c>
      <c r="D68" s="24">
        <f>Table3[[#This Row],[Date_Resolved]]</f>
        <v>45664</v>
      </c>
      <c r="E68" s="25">
        <v>473</v>
      </c>
      <c r="F68" s="9">
        <v>102</v>
      </c>
      <c r="G68" s="9">
        <f>Table6[[#This Row],[Quantity]]*Table6[[#This Row],[Unit Price]]</f>
        <v>48246</v>
      </c>
      <c r="H68" s="23" t="s">
        <v>44</v>
      </c>
      <c r="I68" s="23" t="s">
        <v>64</v>
      </c>
      <c r="J68" s="9" t="str">
        <f>IF(Table6[[#This Row],[Order_Status]]="Delivered","Resolved","Open")</f>
        <v>Resolved</v>
      </c>
    </row>
    <row r="69" spans="1:10" x14ac:dyDescent="0.2">
      <c r="A69" s="19" t="s">
        <v>23</v>
      </c>
      <c r="B69" s="2" t="str">
        <f>"V-"&amp;Table3[[#This Row],[Ticket_ID]]</f>
        <v>V-168</v>
      </c>
      <c r="C69" s="24">
        <f>Table3[[#This Row],[Date_Opened]]</f>
        <v>45677</v>
      </c>
      <c r="D69" s="24">
        <f>Table3[[#This Row],[Date_Resolved]]</f>
        <v>45682</v>
      </c>
      <c r="E69" s="25">
        <v>269</v>
      </c>
      <c r="F69" s="9">
        <v>16</v>
      </c>
      <c r="G69" s="9">
        <f>Table6[[#This Row],[Quantity]]*Table6[[#This Row],[Unit Price]]</f>
        <v>4304</v>
      </c>
      <c r="H69" s="23" t="s">
        <v>42</v>
      </c>
      <c r="I69" s="23" t="s">
        <v>64</v>
      </c>
      <c r="J69" s="9" t="str">
        <f>IF(Table6[[#This Row],[Order_Status]]="Delivered","Resolved","Open")</f>
        <v>Resolved</v>
      </c>
    </row>
    <row r="70" spans="1:10" x14ac:dyDescent="0.2">
      <c r="A70" s="18" t="s">
        <v>1</v>
      </c>
      <c r="B70" s="2" t="str">
        <f>"V-"&amp;Table3[[#This Row],[Ticket_ID]]</f>
        <v>V-169</v>
      </c>
      <c r="C70" s="24">
        <f>Table3[[#This Row],[Date_Opened]]</f>
        <v>45664</v>
      </c>
      <c r="D70" s="24">
        <f>Table3[[#This Row],[Date_Resolved]]</f>
        <v>45669</v>
      </c>
      <c r="E70" s="25">
        <v>268</v>
      </c>
      <c r="F70" s="9">
        <v>10</v>
      </c>
      <c r="G70" s="9">
        <f>Table6[[#This Row],[Quantity]]*Table6[[#This Row],[Unit Price]]</f>
        <v>2680</v>
      </c>
      <c r="H70" s="23" t="s">
        <v>40</v>
      </c>
      <c r="I70" s="23" t="s">
        <v>64</v>
      </c>
      <c r="J70" s="9" t="str">
        <f>IF(Table6[[#This Row],[Order_Status]]="Delivered","Resolved","Open")</f>
        <v>Resolved</v>
      </c>
    </row>
    <row r="71" spans="1:10" x14ac:dyDescent="0.2">
      <c r="A71" s="19" t="s">
        <v>23</v>
      </c>
      <c r="B71" s="2" t="str">
        <f>"V-"&amp;Table3[[#This Row],[Ticket_ID]]</f>
        <v>V-170</v>
      </c>
      <c r="C71" s="24">
        <f>Table3[[#This Row],[Date_Opened]]</f>
        <v>45663</v>
      </c>
      <c r="D71" s="24">
        <f>Table3[[#This Row],[Date_Resolved]]</f>
        <v>45665</v>
      </c>
      <c r="E71" s="25">
        <v>343</v>
      </c>
      <c r="F71" s="9">
        <v>33</v>
      </c>
      <c r="G71" s="9">
        <f>Table6[[#This Row],[Quantity]]*Table6[[#This Row],[Unit Price]]</f>
        <v>11319</v>
      </c>
      <c r="H71" s="23" t="s">
        <v>40</v>
      </c>
      <c r="I71" s="23" t="s">
        <v>64</v>
      </c>
      <c r="J71" s="9" t="str">
        <f>IF(Table6[[#This Row],[Order_Status]]="Delivered","Resolved","Open")</f>
        <v>Resolved</v>
      </c>
    </row>
    <row r="72" spans="1:10" x14ac:dyDescent="0.2">
      <c r="A72" s="18" t="s">
        <v>4</v>
      </c>
      <c r="B72" s="2" t="str">
        <f>"V-"&amp;Table3[[#This Row],[Ticket_ID]]</f>
        <v>V-171</v>
      </c>
      <c r="C72" s="24">
        <f>Table3[[#This Row],[Date_Opened]]</f>
        <v>45682</v>
      </c>
      <c r="D72" s="24">
        <f>Table3[[#This Row],[Date_Resolved]]</f>
        <v>45686</v>
      </c>
      <c r="E72" s="25">
        <v>287</v>
      </c>
      <c r="F72" s="9">
        <v>39</v>
      </c>
      <c r="G72" s="9">
        <f>Table6[[#This Row],[Quantity]]*Table6[[#This Row],[Unit Price]]</f>
        <v>11193</v>
      </c>
      <c r="H72" s="23" t="s">
        <v>40</v>
      </c>
      <c r="I72" s="23" t="s">
        <v>64</v>
      </c>
      <c r="J72" s="9" t="str">
        <f>IF(Table6[[#This Row],[Order_Status]]="Delivered","Resolved","Open")</f>
        <v>Resolved</v>
      </c>
    </row>
    <row r="73" spans="1:10" x14ac:dyDescent="0.2">
      <c r="A73" s="19" t="s">
        <v>23</v>
      </c>
      <c r="B73" s="2" t="str">
        <f>"V-"&amp;Table3[[#This Row],[Ticket_ID]]</f>
        <v>V-172</v>
      </c>
      <c r="C73" s="24">
        <f>Table3[[#This Row],[Date_Opened]]</f>
        <v>45677</v>
      </c>
      <c r="D73" s="24">
        <f>Table3[[#This Row],[Date_Resolved]]</f>
        <v>45681</v>
      </c>
      <c r="E73" s="25">
        <v>159</v>
      </c>
      <c r="F73" s="9">
        <v>9</v>
      </c>
      <c r="G73" s="9">
        <f>Table6[[#This Row],[Quantity]]*Table6[[#This Row],[Unit Price]]</f>
        <v>1431</v>
      </c>
      <c r="H73" s="23" t="s">
        <v>41</v>
      </c>
      <c r="I73" s="23" t="s">
        <v>65</v>
      </c>
      <c r="J73" s="9" t="str">
        <f>IF(Table6[[#This Row],[Order_Status]]="Delivered","Resolved","Open")</f>
        <v>Open</v>
      </c>
    </row>
    <row r="74" spans="1:10" x14ac:dyDescent="0.2">
      <c r="A74" s="18" t="s">
        <v>21</v>
      </c>
      <c r="B74" s="2" t="str">
        <f>"V-"&amp;Table3[[#This Row],[Ticket_ID]]</f>
        <v>V-173</v>
      </c>
      <c r="C74" s="24">
        <f>Table3[[#This Row],[Date_Opened]]</f>
        <v>45685</v>
      </c>
      <c r="D74" s="24">
        <f>Table3[[#This Row],[Date_Resolved]]</f>
        <v>45692</v>
      </c>
      <c r="E74" s="25">
        <v>241</v>
      </c>
      <c r="F74" s="9">
        <v>24</v>
      </c>
      <c r="G74" s="9">
        <f>Table6[[#This Row],[Quantity]]*Table6[[#This Row],[Unit Price]]</f>
        <v>5784</v>
      </c>
      <c r="H74" s="23" t="s">
        <v>43</v>
      </c>
      <c r="I74" s="23" t="s">
        <v>64</v>
      </c>
      <c r="J74" s="9" t="str">
        <f>IF(Table6[[#This Row],[Order_Status]]="Delivered","Resolved","Open")</f>
        <v>Resolved</v>
      </c>
    </row>
    <row r="75" spans="1:10" x14ac:dyDescent="0.2">
      <c r="A75" s="19" t="s">
        <v>4</v>
      </c>
      <c r="B75" s="2" t="str">
        <f>"V-"&amp;Table3[[#This Row],[Ticket_ID]]</f>
        <v>V-174</v>
      </c>
      <c r="C75" s="24">
        <f>Table3[[#This Row],[Date_Opened]]</f>
        <v>45663</v>
      </c>
      <c r="D75" s="24">
        <f>Table3[[#This Row],[Date_Resolved]]</f>
        <v>45664</v>
      </c>
      <c r="E75" s="25">
        <v>154</v>
      </c>
      <c r="F75" s="9">
        <v>43</v>
      </c>
      <c r="G75" s="9">
        <f>Table6[[#This Row],[Quantity]]*Table6[[#This Row],[Unit Price]]</f>
        <v>6622</v>
      </c>
      <c r="H75" s="23" t="s">
        <v>40</v>
      </c>
      <c r="I75" s="23" t="s">
        <v>64</v>
      </c>
      <c r="J75" s="9" t="str">
        <f>IF(Table6[[#This Row],[Order_Status]]="Delivered","Resolved","Open")</f>
        <v>Resolved</v>
      </c>
    </row>
    <row r="76" spans="1:10" x14ac:dyDescent="0.2">
      <c r="A76" s="18" t="s">
        <v>4</v>
      </c>
      <c r="B76" s="2" t="str">
        <f>"V-"&amp;Table3[[#This Row],[Ticket_ID]]</f>
        <v>V-175</v>
      </c>
      <c r="C76" s="24">
        <f>Table3[[#This Row],[Date_Opened]]</f>
        <v>45674</v>
      </c>
      <c r="D76" s="24">
        <f>Table3[[#This Row],[Date_Resolved]]</f>
        <v>45676</v>
      </c>
      <c r="E76" s="25">
        <v>174</v>
      </c>
      <c r="F76" s="9">
        <v>8</v>
      </c>
      <c r="G76" s="9">
        <f>Table6[[#This Row],[Quantity]]*Table6[[#This Row],[Unit Price]]</f>
        <v>1392</v>
      </c>
      <c r="H76" s="23" t="s">
        <v>41</v>
      </c>
      <c r="I76" s="23" t="s">
        <v>64</v>
      </c>
      <c r="J76" s="9" t="str">
        <f>IF(Table6[[#This Row],[Order_Status]]="Delivered","Resolved","Open")</f>
        <v>Resolved</v>
      </c>
    </row>
    <row r="77" spans="1:10" x14ac:dyDescent="0.2">
      <c r="A77" s="19" t="s">
        <v>2</v>
      </c>
      <c r="B77" s="2" t="str">
        <f>"V-"&amp;Table3[[#This Row],[Ticket_ID]]</f>
        <v>V-176</v>
      </c>
      <c r="C77" s="24">
        <f>Table3[[#This Row],[Date_Opened]]</f>
        <v>45668</v>
      </c>
      <c r="D77" s="24">
        <f>Table3[[#This Row],[Date_Resolved]]</f>
        <v>45673</v>
      </c>
      <c r="E77" s="25">
        <v>256</v>
      </c>
      <c r="F77" s="9">
        <v>15</v>
      </c>
      <c r="G77" s="9">
        <f>Table6[[#This Row],[Quantity]]*Table6[[#This Row],[Unit Price]]</f>
        <v>3840</v>
      </c>
      <c r="H77" s="23" t="s">
        <v>41</v>
      </c>
      <c r="I77" s="23" t="s">
        <v>64</v>
      </c>
      <c r="J77" s="9" t="str">
        <f>IF(Table6[[#This Row],[Order_Status]]="Delivered","Resolved","Open")</f>
        <v>Resolved</v>
      </c>
    </row>
    <row r="78" spans="1:10" x14ac:dyDescent="0.2">
      <c r="A78" s="18" t="s">
        <v>21</v>
      </c>
      <c r="B78" s="2" t="str">
        <f>"V-"&amp;Table3[[#This Row],[Ticket_ID]]</f>
        <v>V-177</v>
      </c>
      <c r="C78" s="24">
        <f>Table3[[#This Row],[Date_Opened]]</f>
        <v>45677</v>
      </c>
      <c r="D78" s="24">
        <f>Table3[[#This Row],[Date_Resolved]]</f>
        <v>45679</v>
      </c>
      <c r="E78" s="25">
        <v>124</v>
      </c>
      <c r="F78" s="9">
        <v>20</v>
      </c>
      <c r="G78" s="9">
        <f>Table6[[#This Row],[Quantity]]*Table6[[#This Row],[Unit Price]]</f>
        <v>2480</v>
      </c>
      <c r="H78" s="23" t="s">
        <v>40</v>
      </c>
      <c r="I78" s="23" t="s">
        <v>64</v>
      </c>
      <c r="J78" s="9" t="str">
        <f>IF(Table6[[#This Row],[Order_Status]]="Delivered","Resolved","Open")</f>
        <v>Resolved</v>
      </c>
    </row>
    <row r="79" spans="1:10" x14ac:dyDescent="0.2">
      <c r="A79" s="19" t="s">
        <v>4</v>
      </c>
      <c r="B79" s="2" t="str">
        <f>"V-"&amp;Table3[[#This Row],[Ticket_ID]]</f>
        <v>V-178</v>
      </c>
      <c r="C79" s="24">
        <f>Table3[[#This Row],[Date_Opened]]</f>
        <v>45673</v>
      </c>
      <c r="D79" s="24">
        <f>Table3[[#This Row],[Date_Resolved]]</f>
        <v>45675</v>
      </c>
      <c r="E79" s="25">
        <v>252</v>
      </c>
      <c r="F79" s="9">
        <v>10</v>
      </c>
      <c r="G79" s="9">
        <f>Table6[[#This Row],[Quantity]]*Table6[[#This Row],[Unit Price]]</f>
        <v>2520</v>
      </c>
      <c r="H79" s="23" t="s">
        <v>43</v>
      </c>
      <c r="I79" s="23" t="s">
        <v>67</v>
      </c>
      <c r="J79" s="9" t="str">
        <f>IF(Table6[[#This Row],[Order_Status]]="Delivered","Resolved","Open")</f>
        <v>Open</v>
      </c>
    </row>
    <row r="80" spans="1:10" x14ac:dyDescent="0.2">
      <c r="A80" s="18" t="s">
        <v>1</v>
      </c>
      <c r="B80" s="2" t="str">
        <f>"V-"&amp;Table3[[#This Row],[Ticket_ID]]</f>
        <v>V-179</v>
      </c>
      <c r="C80" s="24">
        <f>Table3[[#This Row],[Date_Opened]]</f>
        <v>45674</v>
      </c>
      <c r="D80" s="24">
        <f>Table3[[#This Row],[Date_Resolved]]</f>
        <v>45679</v>
      </c>
      <c r="E80" s="25">
        <v>259</v>
      </c>
      <c r="F80" s="9">
        <v>23</v>
      </c>
      <c r="G80" s="9">
        <f>Table6[[#This Row],[Quantity]]*Table6[[#This Row],[Unit Price]]</f>
        <v>5957</v>
      </c>
      <c r="H80" s="23" t="s">
        <v>40</v>
      </c>
      <c r="I80" s="23" t="s">
        <v>64</v>
      </c>
      <c r="J80" s="9" t="str">
        <f>IF(Table6[[#This Row],[Order_Status]]="Delivered","Resolved","Open")</f>
        <v>Resolved</v>
      </c>
    </row>
    <row r="81" spans="1:10" x14ac:dyDescent="0.2">
      <c r="A81" s="19" t="s">
        <v>2</v>
      </c>
      <c r="B81" s="2" t="str">
        <f>"V-"&amp;Table3[[#This Row],[Ticket_ID]]</f>
        <v>V-180</v>
      </c>
      <c r="C81" s="24">
        <f>Table3[[#This Row],[Date_Opened]]</f>
        <v>45665</v>
      </c>
      <c r="D81" s="24">
        <f>Table3[[#This Row],[Date_Resolved]]</f>
        <v>45666</v>
      </c>
      <c r="E81" s="25">
        <v>151</v>
      </c>
      <c r="F81" s="9">
        <v>14</v>
      </c>
      <c r="G81" s="9">
        <f>Table6[[#This Row],[Quantity]]*Table6[[#This Row],[Unit Price]]</f>
        <v>2114</v>
      </c>
      <c r="H81" s="23" t="s">
        <v>40</v>
      </c>
      <c r="I81" s="23" t="s">
        <v>64</v>
      </c>
      <c r="J81" s="9" t="str">
        <f>IF(Table6[[#This Row],[Order_Status]]="Delivered","Resolved","Open")</f>
        <v>Resolved</v>
      </c>
    </row>
    <row r="82" spans="1:10" x14ac:dyDescent="0.2">
      <c r="A82" s="18" t="s">
        <v>21</v>
      </c>
      <c r="B82" s="2" t="str">
        <f>"V-"&amp;Table3[[#This Row],[Ticket_ID]]</f>
        <v>V-181</v>
      </c>
      <c r="C82" s="24">
        <f>Table3[[#This Row],[Date_Opened]]</f>
        <v>45684</v>
      </c>
      <c r="D82" s="24">
        <f>Table3[[#This Row],[Date_Resolved]]</f>
        <v>45690</v>
      </c>
      <c r="E82" s="25">
        <v>492</v>
      </c>
      <c r="F82" s="9">
        <v>33</v>
      </c>
      <c r="G82" s="9">
        <f>Table6[[#This Row],[Quantity]]*Table6[[#This Row],[Unit Price]]</f>
        <v>16236</v>
      </c>
      <c r="H82" s="23" t="s">
        <v>44</v>
      </c>
      <c r="I82" s="23" t="s">
        <v>64</v>
      </c>
      <c r="J82" s="9" t="str">
        <f>IF(Table6[[#This Row],[Order_Status]]="Delivered","Resolved","Open")</f>
        <v>Resolved</v>
      </c>
    </row>
    <row r="83" spans="1:10" x14ac:dyDescent="0.2">
      <c r="A83" s="19" t="s">
        <v>20</v>
      </c>
      <c r="B83" s="2" t="str">
        <f>"V-"&amp;Table3[[#This Row],[Ticket_ID]]</f>
        <v>V-182</v>
      </c>
      <c r="C83" s="24">
        <f>Table3[[#This Row],[Date_Opened]]</f>
        <v>45660</v>
      </c>
      <c r="D83" s="24">
        <f>Table3[[#This Row],[Date_Resolved]]</f>
        <v>45663</v>
      </c>
      <c r="E83" s="25">
        <v>224</v>
      </c>
      <c r="F83" s="9">
        <v>6</v>
      </c>
      <c r="G83" s="9">
        <f>Table6[[#This Row],[Quantity]]*Table6[[#This Row],[Unit Price]]</f>
        <v>1344</v>
      </c>
      <c r="H83" s="23" t="s">
        <v>43</v>
      </c>
      <c r="I83" s="23" t="s">
        <v>64</v>
      </c>
      <c r="J83" s="9" t="str">
        <f>IF(Table6[[#This Row],[Order_Status]]="Delivered","Resolved","Open")</f>
        <v>Resolved</v>
      </c>
    </row>
    <row r="84" spans="1:10" x14ac:dyDescent="0.2">
      <c r="A84" s="18" t="s">
        <v>22</v>
      </c>
      <c r="B84" s="2" t="str">
        <f>"V-"&amp;Table3[[#This Row],[Ticket_ID]]</f>
        <v>V-183</v>
      </c>
      <c r="C84" s="24">
        <f>Table3[[#This Row],[Date_Opened]]</f>
        <v>45668</v>
      </c>
      <c r="D84" s="24">
        <f>Table3[[#This Row],[Date_Resolved]]</f>
        <v>45675</v>
      </c>
      <c r="E84" s="25">
        <v>290</v>
      </c>
      <c r="F84" s="9">
        <v>18</v>
      </c>
      <c r="G84" s="9">
        <f>Table6[[#This Row],[Quantity]]*Table6[[#This Row],[Unit Price]]</f>
        <v>5220</v>
      </c>
      <c r="H84" s="23" t="s">
        <v>42</v>
      </c>
      <c r="I84" s="23" t="s">
        <v>64</v>
      </c>
      <c r="J84" s="9" t="str">
        <f>IF(Table6[[#This Row],[Order_Status]]="Delivered","Resolved","Open")</f>
        <v>Resolved</v>
      </c>
    </row>
    <row r="85" spans="1:10" x14ac:dyDescent="0.2">
      <c r="A85" s="19" t="s">
        <v>21</v>
      </c>
      <c r="B85" s="2" t="str">
        <f>"V-"&amp;Table3[[#This Row],[Ticket_ID]]</f>
        <v>V-184</v>
      </c>
      <c r="C85" s="24">
        <f>Table3[[#This Row],[Date_Opened]]</f>
        <v>45660</v>
      </c>
      <c r="D85" s="24">
        <f>Table3[[#This Row],[Date_Resolved]]</f>
        <v>45662</v>
      </c>
      <c r="E85" s="25">
        <v>355</v>
      </c>
      <c r="F85" s="9">
        <v>22</v>
      </c>
      <c r="G85" s="9">
        <f>Table6[[#This Row],[Quantity]]*Table6[[#This Row],[Unit Price]]</f>
        <v>7810</v>
      </c>
      <c r="H85" s="23" t="s">
        <v>44</v>
      </c>
      <c r="I85" s="23" t="s">
        <v>66</v>
      </c>
      <c r="J85" s="9" t="str">
        <f>IF(Table6[[#This Row],[Order_Status]]="Delivered","Resolved","Open")</f>
        <v>Open</v>
      </c>
    </row>
    <row r="86" spans="1:10" x14ac:dyDescent="0.2">
      <c r="A86" s="18" t="s">
        <v>4</v>
      </c>
      <c r="B86" s="2" t="str">
        <f>"V-"&amp;Table3[[#This Row],[Ticket_ID]]</f>
        <v>V-185</v>
      </c>
      <c r="C86" s="24">
        <f>Table3[[#This Row],[Date_Opened]]</f>
        <v>45667</v>
      </c>
      <c r="D86" s="24">
        <f>Table3[[#This Row],[Date_Resolved]]</f>
        <v>45668</v>
      </c>
      <c r="E86" s="25">
        <v>176</v>
      </c>
      <c r="F86" s="9">
        <v>13</v>
      </c>
      <c r="G86" s="9">
        <f>Table6[[#This Row],[Quantity]]*Table6[[#This Row],[Unit Price]]</f>
        <v>2288</v>
      </c>
      <c r="H86" s="23" t="s">
        <v>41</v>
      </c>
      <c r="I86" s="23" t="s">
        <v>64</v>
      </c>
      <c r="J86" s="9" t="str">
        <f>IF(Table6[[#This Row],[Order_Status]]="Delivered","Resolved","Open")</f>
        <v>Resolved</v>
      </c>
    </row>
    <row r="87" spans="1:10" x14ac:dyDescent="0.2">
      <c r="A87" s="19" t="s">
        <v>2</v>
      </c>
      <c r="B87" s="2" t="str">
        <f>"V-"&amp;Table3[[#This Row],[Ticket_ID]]</f>
        <v>V-186</v>
      </c>
      <c r="C87" s="24">
        <f>Table3[[#This Row],[Date_Opened]]</f>
        <v>45667</v>
      </c>
      <c r="D87" s="24">
        <f>Table3[[#This Row],[Date_Resolved]]</f>
        <v>45668</v>
      </c>
      <c r="E87" s="25">
        <v>309</v>
      </c>
      <c r="F87" s="9">
        <v>26</v>
      </c>
      <c r="G87" s="9">
        <f>Table6[[#This Row],[Quantity]]*Table6[[#This Row],[Unit Price]]</f>
        <v>8034</v>
      </c>
      <c r="H87" s="23" t="s">
        <v>40</v>
      </c>
      <c r="I87" s="23" t="s">
        <v>64</v>
      </c>
      <c r="J87" s="9" t="str">
        <f>IF(Table6[[#This Row],[Order_Status]]="Delivered","Resolved","Open")</f>
        <v>Resolved</v>
      </c>
    </row>
    <row r="88" spans="1:10" x14ac:dyDescent="0.2">
      <c r="A88" s="18" t="s">
        <v>3</v>
      </c>
      <c r="B88" s="2" t="str">
        <f>"V-"&amp;Table3[[#This Row],[Ticket_ID]]</f>
        <v>V-187</v>
      </c>
      <c r="C88" s="24">
        <f>Table3[[#This Row],[Date_Opened]]</f>
        <v>45682</v>
      </c>
      <c r="D88" s="24">
        <f>Table3[[#This Row],[Date_Resolved]]</f>
        <v>45689</v>
      </c>
      <c r="E88" s="25">
        <v>188</v>
      </c>
      <c r="F88" s="9">
        <v>24</v>
      </c>
      <c r="G88" s="9">
        <f>Table6[[#This Row],[Quantity]]*Table6[[#This Row],[Unit Price]]</f>
        <v>4512</v>
      </c>
      <c r="H88" s="23" t="s">
        <v>41</v>
      </c>
      <c r="I88" s="23" t="s">
        <v>64</v>
      </c>
      <c r="J88" s="9" t="str">
        <f>IF(Table6[[#This Row],[Order_Status]]="Delivered","Resolved","Open")</f>
        <v>Resolved</v>
      </c>
    </row>
    <row r="89" spans="1:10" x14ac:dyDescent="0.2">
      <c r="A89" s="19" t="s">
        <v>4</v>
      </c>
      <c r="B89" s="2" t="str">
        <f>"V-"&amp;Table3[[#This Row],[Ticket_ID]]</f>
        <v>V-188</v>
      </c>
      <c r="C89" s="24">
        <f>Table3[[#This Row],[Date_Opened]]</f>
        <v>45668</v>
      </c>
      <c r="D89" s="24">
        <f>Table3[[#This Row],[Date_Resolved]]</f>
        <v>45669</v>
      </c>
      <c r="E89" s="25">
        <v>184</v>
      </c>
      <c r="F89" s="9">
        <v>29</v>
      </c>
      <c r="G89" s="9">
        <f>Table6[[#This Row],[Quantity]]*Table6[[#This Row],[Unit Price]]</f>
        <v>5336</v>
      </c>
      <c r="H89" s="23" t="s">
        <v>40</v>
      </c>
      <c r="I89" s="23" t="s">
        <v>64</v>
      </c>
      <c r="J89" s="9" t="str">
        <f>IF(Table6[[#This Row],[Order_Status]]="Delivered","Resolved","Open")</f>
        <v>Resolved</v>
      </c>
    </row>
    <row r="90" spans="1:10" x14ac:dyDescent="0.2">
      <c r="A90" s="18" t="s">
        <v>1</v>
      </c>
      <c r="B90" s="2" t="str">
        <f>"V-"&amp;Table3[[#This Row],[Ticket_ID]]</f>
        <v>V-189</v>
      </c>
      <c r="C90" s="24">
        <f>Table3[[#This Row],[Date_Opened]]</f>
        <v>45659</v>
      </c>
      <c r="D90" s="24">
        <f>Table3[[#This Row],[Date_Resolved]]</f>
        <v>45664</v>
      </c>
      <c r="E90" s="25">
        <v>188</v>
      </c>
      <c r="F90" s="9">
        <v>14</v>
      </c>
      <c r="G90" s="9">
        <f>Table6[[#This Row],[Quantity]]*Table6[[#This Row],[Unit Price]]</f>
        <v>2632</v>
      </c>
      <c r="H90" s="23" t="s">
        <v>43</v>
      </c>
      <c r="I90" s="23" t="s">
        <v>64</v>
      </c>
      <c r="J90" s="9" t="str">
        <f>IF(Table6[[#This Row],[Order_Status]]="Delivered","Resolved","Open")</f>
        <v>Resolved</v>
      </c>
    </row>
    <row r="91" spans="1:10" x14ac:dyDescent="0.2">
      <c r="A91" s="19" t="s">
        <v>20</v>
      </c>
      <c r="B91" s="2" t="str">
        <f>"V-"&amp;Table3[[#This Row],[Ticket_ID]]</f>
        <v>V-190</v>
      </c>
      <c r="C91" s="24">
        <f>Table3[[#This Row],[Date_Opened]]</f>
        <v>45680</v>
      </c>
      <c r="D91" s="24">
        <f>Table3[[#This Row],[Date_Resolved]]</f>
        <v>45682</v>
      </c>
      <c r="E91" s="25">
        <v>170</v>
      </c>
      <c r="F91" s="9">
        <v>32</v>
      </c>
      <c r="G91" s="9">
        <f>Table6[[#This Row],[Quantity]]*Table6[[#This Row],[Unit Price]]</f>
        <v>5440</v>
      </c>
      <c r="H91" s="23" t="s">
        <v>41</v>
      </c>
      <c r="I91" s="23" t="s">
        <v>64</v>
      </c>
      <c r="J91" s="9" t="str">
        <f>IF(Table6[[#This Row],[Order_Status]]="Delivered","Resolved","Open")</f>
        <v>Resolved</v>
      </c>
    </row>
    <row r="92" spans="1:10" x14ac:dyDescent="0.2">
      <c r="A92" s="18" t="s">
        <v>20</v>
      </c>
      <c r="B92" s="2" t="str">
        <f>"V-"&amp;Table3[[#This Row],[Ticket_ID]]</f>
        <v>V-191</v>
      </c>
      <c r="C92" s="24">
        <f>Table3[[#This Row],[Date_Opened]]</f>
        <v>45674</v>
      </c>
      <c r="D92" s="24">
        <f>Table3[[#This Row],[Date_Resolved]]</f>
        <v>45679</v>
      </c>
      <c r="E92" s="25">
        <v>269</v>
      </c>
      <c r="F92" s="9">
        <v>19</v>
      </c>
      <c r="G92" s="9">
        <f>Table6[[#This Row],[Quantity]]*Table6[[#This Row],[Unit Price]]</f>
        <v>5111</v>
      </c>
      <c r="H92" s="23" t="s">
        <v>42</v>
      </c>
      <c r="I92" s="23" t="s">
        <v>64</v>
      </c>
      <c r="J92" s="9" t="str">
        <f>IF(Table6[[#This Row],[Order_Status]]="Delivered","Resolved","Open")</f>
        <v>Resolved</v>
      </c>
    </row>
    <row r="93" spans="1:10" x14ac:dyDescent="0.2">
      <c r="A93" s="19" t="s">
        <v>2</v>
      </c>
      <c r="B93" s="2" t="str">
        <f>"V-"&amp;Table3[[#This Row],[Ticket_ID]]</f>
        <v>V-192</v>
      </c>
      <c r="C93" s="24">
        <f>Table3[[#This Row],[Date_Opened]]</f>
        <v>45660</v>
      </c>
      <c r="D93" s="24">
        <f>Table3[[#This Row],[Date_Resolved]]</f>
        <v>45666</v>
      </c>
      <c r="E93" s="25">
        <v>166</v>
      </c>
      <c r="F93" s="9">
        <v>26</v>
      </c>
      <c r="G93" s="9">
        <f>Table6[[#This Row],[Quantity]]*Table6[[#This Row],[Unit Price]]</f>
        <v>4316</v>
      </c>
      <c r="H93" s="23" t="s">
        <v>43</v>
      </c>
      <c r="I93" s="23" t="s">
        <v>64</v>
      </c>
      <c r="J93" s="9" t="str">
        <f>IF(Table6[[#This Row],[Order_Status]]="Delivered","Resolved","Open")</f>
        <v>Resolved</v>
      </c>
    </row>
    <row r="94" spans="1:10" x14ac:dyDescent="0.2">
      <c r="A94" s="18" t="s">
        <v>4</v>
      </c>
      <c r="B94" s="2" t="str">
        <f>"V-"&amp;Table3[[#This Row],[Ticket_ID]]</f>
        <v>V-193</v>
      </c>
      <c r="C94" s="24">
        <f>Table3[[#This Row],[Date_Opened]]</f>
        <v>45669</v>
      </c>
      <c r="D94" s="24">
        <f>Table3[[#This Row],[Date_Resolved]]</f>
        <v>45671</v>
      </c>
      <c r="E94" s="25">
        <v>135</v>
      </c>
      <c r="F94" s="9">
        <v>42</v>
      </c>
      <c r="G94" s="9">
        <f>Table6[[#This Row],[Quantity]]*Table6[[#This Row],[Unit Price]]</f>
        <v>5670</v>
      </c>
      <c r="H94" s="23" t="s">
        <v>40</v>
      </c>
      <c r="I94" s="23" t="s">
        <v>64</v>
      </c>
      <c r="J94" s="9" t="str">
        <f>IF(Table6[[#This Row],[Order_Status]]="Delivered","Resolved","Open")</f>
        <v>Resolved</v>
      </c>
    </row>
    <row r="95" spans="1:10" x14ac:dyDescent="0.2">
      <c r="A95" s="19" t="s">
        <v>3</v>
      </c>
      <c r="B95" s="2" t="str">
        <f>"V-"&amp;Table3[[#This Row],[Ticket_ID]]</f>
        <v>V-194</v>
      </c>
      <c r="C95" s="24">
        <f>Table3[[#This Row],[Date_Opened]]</f>
        <v>45664</v>
      </c>
      <c r="D95" s="24">
        <f>Table3[[#This Row],[Date_Resolved]]</f>
        <v>45665</v>
      </c>
      <c r="E95" s="25">
        <v>466</v>
      </c>
      <c r="F95" s="9">
        <v>76</v>
      </c>
      <c r="G95" s="9">
        <f>Table6[[#This Row],[Quantity]]*Table6[[#This Row],[Unit Price]]</f>
        <v>35416</v>
      </c>
      <c r="H95" s="23" t="s">
        <v>44</v>
      </c>
      <c r="I95" s="23" t="s">
        <v>64</v>
      </c>
      <c r="J95" s="9" t="str">
        <f>IF(Table6[[#This Row],[Order_Status]]="Delivered","Resolved","Open")</f>
        <v>Resolved</v>
      </c>
    </row>
    <row r="96" spans="1:10" x14ac:dyDescent="0.2">
      <c r="A96" s="18" t="s">
        <v>21</v>
      </c>
      <c r="B96" s="2" t="str">
        <f>"V-"&amp;Table3[[#This Row],[Ticket_ID]]</f>
        <v>V-195</v>
      </c>
      <c r="C96" s="24">
        <f>Table3[[#This Row],[Date_Opened]]</f>
        <v>45682</v>
      </c>
      <c r="D96" s="24">
        <f>Table3[[#This Row],[Date_Resolved]]</f>
        <v>45688</v>
      </c>
      <c r="E96" s="25">
        <v>240</v>
      </c>
      <c r="F96" s="9">
        <v>21</v>
      </c>
      <c r="G96" s="9">
        <f>Table6[[#This Row],[Quantity]]*Table6[[#This Row],[Unit Price]]</f>
        <v>5040</v>
      </c>
      <c r="H96" s="23" t="s">
        <v>41</v>
      </c>
      <c r="I96" s="23" t="s">
        <v>64</v>
      </c>
      <c r="J96" s="9" t="str">
        <f>IF(Table6[[#This Row],[Order_Status]]="Delivered","Resolved","Open")</f>
        <v>Resolved</v>
      </c>
    </row>
    <row r="97" spans="1:10" x14ac:dyDescent="0.2">
      <c r="A97" s="19" t="s">
        <v>3</v>
      </c>
      <c r="B97" s="2" t="str">
        <f>"V-"&amp;Table3[[#This Row],[Ticket_ID]]</f>
        <v>V-196</v>
      </c>
      <c r="C97" s="24">
        <f>Table3[[#This Row],[Date_Opened]]</f>
        <v>45662</v>
      </c>
      <c r="D97" s="24">
        <f>Table3[[#This Row],[Date_Resolved]]</f>
        <v>45663</v>
      </c>
      <c r="E97" s="25">
        <v>336</v>
      </c>
      <c r="F97" s="9">
        <v>12</v>
      </c>
      <c r="G97" s="9">
        <f>Table6[[#This Row],[Quantity]]*Table6[[#This Row],[Unit Price]]</f>
        <v>4032</v>
      </c>
      <c r="H97" s="23" t="s">
        <v>43</v>
      </c>
      <c r="I97" s="23" t="s">
        <v>64</v>
      </c>
      <c r="J97" s="9" t="str">
        <f>IF(Table6[[#This Row],[Order_Status]]="Delivered","Resolved","Open")</f>
        <v>Resolved</v>
      </c>
    </row>
    <row r="98" spans="1:10" x14ac:dyDescent="0.2">
      <c r="A98" s="18" t="s">
        <v>3</v>
      </c>
      <c r="B98" s="2" t="str">
        <f>"V-"&amp;Table3[[#This Row],[Ticket_ID]]</f>
        <v>V-197</v>
      </c>
      <c r="C98" s="24">
        <f>Table3[[#This Row],[Date_Opened]]</f>
        <v>45666</v>
      </c>
      <c r="D98" s="24">
        <f>Table3[[#This Row],[Date_Resolved]]</f>
        <v>45669</v>
      </c>
      <c r="E98" s="25">
        <v>230</v>
      </c>
      <c r="F98" s="9">
        <v>5</v>
      </c>
      <c r="G98" s="9">
        <f>Table6[[#This Row],[Quantity]]*Table6[[#This Row],[Unit Price]]</f>
        <v>1150</v>
      </c>
      <c r="H98" s="23" t="s">
        <v>41</v>
      </c>
      <c r="I98" s="23" t="s">
        <v>64</v>
      </c>
      <c r="J98" s="9" t="str">
        <f>IF(Table6[[#This Row],[Order_Status]]="Delivered","Resolved","Open")</f>
        <v>Resolved</v>
      </c>
    </row>
    <row r="99" spans="1:10" x14ac:dyDescent="0.2">
      <c r="A99" s="19" t="s">
        <v>2</v>
      </c>
      <c r="B99" s="2" t="str">
        <f>"V-"&amp;Table3[[#This Row],[Ticket_ID]]</f>
        <v>V-198</v>
      </c>
      <c r="C99" s="24">
        <f>Table3[[#This Row],[Date_Opened]]</f>
        <v>45685</v>
      </c>
      <c r="D99" s="24">
        <f>Table3[[#This Row],[Date_Resolved]]</f>
        <v>45689</v>
      </c>
      <c r="E99" s="25">
        <v>236</v>
      </c>
      <c r="F99" s="9">
        <v>25</v>
      </c>
      <c r="G99" s="9">
        <f>Table6[[#This Row],[Quantity]]*Table6[[#This Row],[Unit Price]]</f>
        <v>5900</v>
      </c>
      <c r="H99" s="23" t="s">
        <v>41</v>
      </c>
      <c r="I99" s="23" t="s">
        <v>64</v>
      </c>
      <c r="J99" s="9" t="str">
        <f>IF(Table6[[#This Row],[Order_Status]]="Delivered","Resolved","Open")</f>
        <v>Resolved</v>
      </c>
    </row>
    <row r="100" spans="1:10" x14ac:dyDescent="0.2">
      <c r="A100" s="18" t="s">
        <v>3</v>
      </c>
      <c r="B100" s="2" t="str">
        <f>"V-"&amp;Table3[[#This Row],[Ticket_ID]]</f>
        <v>V-199</v>
      </c>
      <c r="C100" s="24">
        <f>Table3[[#This Row],[Date_Opened]]</f>
        <v>45676</v>
      </c>
      <c r="D100" s="24">
        <f>Table3[[#This Row],[Date_Resolved]]</f>
        <v>45679</v>
      </c>
      <c r="E100" s="25">
        <v>609</v>
      </c>
      <c r="F100" s="9">
        <v>82</v>
      </c>
      <c r="G100" s="9">
        <f>Table6[[#This Row],[Quantity]]*Table6[[#This Row],[Unit Price]]</f>
        <v>49938</v>
      </c>
      <c r="H100" s="23" t="s">
        <v>44</v>
      </c>
      <c r="I100" s="23" t="s">
        <v>64</v>
      </c>
      <c r="J100" s="9" t="str">
        <f>IF(Table6[[#This Row],[Order_Status]]="Delivered","Resolved","Open")</f>
        <v>Resolved</v>
      </c>
    </row>
    <row r="101" spans="1:10" x14ac:dyDescent="0.2">
      <c r="A101" s="19" t="s">
        <v>3</v>
      </c>
      <c r="B101" s="2" t="str">
        <f>"V-"&amp;Table3[[#This Row],[Ticket_ID]]</f>
        <v>V-200</v>
      </c>
      <c r="C101" s="24">
        <f>Table3[[#This Row],[Date_Opened]]</f>
        <v>45675</v>
      </c>
      <c r="D101" s="24">
        <f>Table3[[#This Row],[Date_Resolved]]</f>
        <v>45682</v>
      </c>
      <c r="E101" s="25">
        <v>195</v>
      </c>
      <c r="F101" s="9">
        <v>32</v>
      </c>
      <c r="G101" s="9">
        <f>Table6[[#This Row],[Quantity]]*Table6[[#This Row],[Unit Price]]</f>
        <v>6240</v>
      </c>
      <c r="H101" s="23" t="s">
        <v>43</v>
      </c>
      <c r="I101" s="23" t="s">
        <v>64</v>
      </c>
      <c r="J101" s="9" t="str">
        <f>IF(Table6[[#This Row],[Order_Status]]="Delivered","Resolved","Open")</f>
        <v>Resolved</v>
      </c>
    </row>
    <row r="102" spans="1:10" x14ac:dyDescent="0.2">
      <c r="A102" s="18" t="s">
        <v>2</v>
      </c>
      <c r="B102" s="2" t="str">
        <f>"V-"&amp;Table3[[#This Row],[Ticket_ID]]</f>
        <v>V-201</v>
      </c>
      <c r="C102" s="24">
        <f>Table3[[#This Row],[Date_Opened]]</f>
        <v>45666</v>
      </c>
      <c r="D102" s="24">
        <f>Table3[[#This Row],[Date_Resolved]]</f>
        <v>45666</v>
      </c>
      <c r="E102" s="25">
        <v>193</v>
      </c>
      <c r="F102" s="9">
        <v>36</v>
      </c>
      <c r="G102" s="9">
        <f>Table6[[#This Row],[Quantity]]*Table6[[#This Row],[Unit Price]]</f>
        <v>6948</v>
      </c>
      <c r="H102" s="23" t="s">
        <v>43</v>
      </c>
      <c r="I102" s="23" t="s">
        <v>64</v>
      </c>
      <c r="J102" s="9" t="str">
        <f>IF(Table6[[#This Row],[Order_Status]]="Delivered","Resolved","Open")</f>
        <v>Resolved</v>
      </c>
    </row>
    <row r="103" spans="1:10" x14ac:dyDescent="0.2">
      <c r="A103" s="19" t="s">
        <v>23</v>
      </c>
      <c r="B103" s="2" t="str">
        <f>"V-"&amp;Table3[[#This Row],[Ticket_ID]]</f>
        <v>V-202</v>
      </c>
      <c r="C103" s="24">
        <f>Table3[[#This Row],[Date_Opened]]</f>
        <v>45686</v>
      </c>
      <c r="D103" s="24">
        <f>Table3[[#This Row],[Date_Resolved]]</f>
        <v>45691</v>
      </c>
      <c r="E103" s="25">
        <v>562</v>
      </c>
      <c r="F103" s="9">
        <v>94</v>
      </c>
      <c r="G103" s="9">
        <f>Table6[[#This Row],[Quantity]]*Table6[[#This Row],[Unit Price]]</f>
        <v>52828</v>
      </c>
      <c r="H103" s="23" t="s">
        <v>44</v>
      </c>
      <c r="I103" s="23" t="s">
        <v>64</v>
      </c>
      <c r="J103" s="9" t="str">
        <f>IF(Table6[[#This Row],[Order_Status]]="Delivered","Resolved","Open")</f>
        <v>Resolved</v>
      </c>
    </row>
    <row r="104" spans="1:10" x14ac:dyDescent="0.2">
      <c r="A104" s="18" t="s">
        <v>1</v>
      </c>
      <c r="B104" s="2" t="str">
        <f>"V-"&amp;Table3[[#This Row],[Ticket_ID]]</f>
        <v>V-203</v>
      </c>
      <c r="C104" s="24">
        <f>Table3[[#This Row],[Date_Opened]]</f>
        <v>45661</v>
      </c>
      <c r="D104" s="24">
        <f>Table3[[#This Row],[Date_Resolved]]</f>
        <v>45665</v>
      </c>
      <c r="E104" s="25">
        <v>210</v>
      </c>
      <c r="F104" s="9">
        <v>36</v>
      </c>
      <c r="G104" s="9">
        <f>Table6[[#This Row],[Quantity]]*Table6[[#This Row],[Unit Price]]</f>
        <v>7560</v>
      </c>
      <c r="H104" s="23" t="s">
        <v>40</v>
      </c>
      <c r="I104" s="23" t="s">
        <v>64</v>
      </c>
      <c r="J104" s="9" t="str">
        <f>IF(Table6[[#This Row],[Order_Status]]="Delivered","Resolved","Open")</f>
        <v>Resolved</v>
      </c>
    </row>
    <row r="105" spans="1:10" x14ac:dyDescent="0.2">
      <c r="A105" s="19" t="s">
        <v>4</v>
      </c>
      <c r="B105" s="2" t="str">
        <f>"V-"&amp;Table3[[#This Row],[Ticket_ID]]</f>
        <v>V-204</v>
      </c>
      <c r="C105" s="24">
        <f>Table3[[#This Row],[Date_Opened]]</f>
        <v>45665</v>
      </c>
      <c r="D105" s="24">
        <f>Table3[[#This Row],[Date_Resolved]]</f>
        <v>45665</v>
      </c>
      <c r="E105" s="25">
        <v>344</v>
      </c>
      <c r="F105" s="9">
        <v>20</v>
      </c>
      <c r="G105" s="9">
        <f>Table6[[#This Row],[Quantity]]*Table6[[#This Row],[Unit Price]]</f>
        <v>6880</v>
      </c>
      <c r="H105" s="23" t="s">
        <v>42</v>
      </c>
      <c r="I105" s="23" t="s">
        <v>64</v>
      </c>
      <c r="J105" s="9" t="str">
        <f>IF(Table6[[#This Row],[Order_Status]]="Delivered","Resolved","Open")</f>
        <v>Resolved</v>
      </c>
    </row>
    <row r="106" spans="1:10" x14ac:dyDescent="0.2">
      <c r="A106" s="18" t="s">
        <v>2</v>
      </c>
      <c r="B106" s="2" t="str">
        <f>"V-"&amp;Table3[[#This Row],[Ticket_ID]]</f>
        <v>V-205</v>
      </c>
      <c r="C106" s="24">
        <f>Table3[[#This Row],[Date_Opened]]</f>
        <v>45673</v>
      </c>
      <c r="D106" s="24">
        <f>Table3[[#This Row],[Date_Resolved]]</f>
        <v>45680</v>
      </c>
      <c r="E106" s="25">
        <v>220</v>
      </c>
      <c r="F106" s="9">
        <v>9</v>
      </c>
      <c r="G106" s="9">
        <f>Table6[[#This Row],[Quantity]]*Table6[[#This Row],[Unit Price]]</f>
        <v>1980</v>
      </c>
      <c r="H106" s="23" t="s">
        <v>41</v>
      </c>
      <c r="I106" s="23" t="s">
        <v>64</v>
      </c>
      <c r="J106" s="9" t="str">
        <f>IF(Table6[[#This Row],[Order_Status]]="Delivered","Resolved","Open")</f>
        <v>Resolved</v>
      </c>
    </row>
    <row r="107" spans="1:10" x14ac:dyDescent="0.2">
      <c r="A107" s="19" t="s">
        <v>4</v>
      </c>
      <c r="B107" s="2" t="str">
        <f>"V-"&amp;Table3[[#This Row],[Ticket_ID]]</f>
        <v>V-206</v>
      </c>
      <c r="C107" s="24">
        <f>Table3[[#This Row],[Date_Opened]]</f>
        <v>45664</v>
      </c>
      <c r="D107" s="24">
        <f>Table3[[#This Row],[Date_Resolved]]</f>
        <v>45666</v>
      </c>
      <c r="E107" s="25">
        <v>475</v>
      </c>
      <c r="F107" s="9">
        <v>69</v>
      </c>
      <c r="G107" s="9">
        <f>Table6[[#This Row],[Quantity]]*Table6[[#This Row],[Unit Price]]</f>
        <v>32775</v>
      </c>
      <c r="H107" s="23" t="s">
        <v>44</v>
      </c>
      <c r="I107" s="23" t="s">
        <v>64</v>
      </c>
      <c r="J107" s="9" t="str">
        <f>IF(Table6[[#This Row],[Order_Status]]="Delivered","Resolved","Open")</f>
        <v>Resolved</v>
      </c>
    </row>
    <row r="108" spans="1:10" x14ac:dyDescent="0.2">
      <c r="A108" s="18" t="s">
        <v>23</v>
      </c>
      <c r="B108" s="2" t="str">
        <f>"V-"&amp;Table3[[#This Row],[Ticket_ID]]</f>
        <v>V-207</v>
      </c>
      <c r="C108" s="24">
        <f>Table3[[#This Row],[Date_Opened]]</f>
        <v>45675</v>
      </c>
      <c r="D108" s="24">
        <f>Table3[[#This Row],[Date_Resolved]]</f>
        <v>45681</v>
      </c>
      <c r="E108" s="25">
        <v>190</v>
      </c>
      <c r="F108" s="9">
        <v>8</v>
      </c>
      <c r="G108" s="9">
        <f>Table6[[#This Row],[Quantity]]*Table6[[#This Row],[Unit Price]]</f>
        <v>1520</v>
      </c>
      <c r="H108" s="23" t="s">
        <v>43</v>
      </c>
      <c r="I108" s="23" t="s">
        <v>64</v>
      </c>
      <c r="J108" s="9" t="str">
        <f>IF(Table6[[#This Row],[Order_Status]]="Delivered","Resolved","Open")</f>
        <v>Resolved</v>
      </c>
    </row>
    <row r="109" spans="1:10" x14ac:dyDescent="0.2">
      <c r="A109" s="19" t="s">
        <v>3</v>
      </c>
      <c r="B109" s="2" t="str">
        <f>"V-"&amp;Table3[[#This Row],[Ticket_ID]]</f>
        <v>V-208</v>
      </c>
      <c r="C109" s="24">
        <f>Table3[[#This Row],[Date_Opened]]</f>
        <v>45686</v>
      </c>
      <c r="D109" s="24">
        <f>Table3[[#This Row],[Date_Resolved]]</f>
        <v>45691</v>
      </c>
      <c r="E109" s="25">
        <v>210</v>
      </c>
      <c r="F109" s="9">
        <v>19</v>
      </c>
      <c r="G109" s="9">
        <f>Table6[[#This Row],[Quantity]]*Table6[[#This Row],[Unit Price]]</f>
        <v>3990</v>
      </c>
      <c r="H109" s="23" t="s">
        <v>43</v>
      </c>
      <c r="I109" s="23" t="s">
        <v>64</v>
      </c>
      <c r="J109" s="9" t="str">
        <f>IF(Table6[[#This Row],[Order_Status]]="Delivered","Resolved","Open")</f>
        <v>Resolved</v>
      </c>
    </row>
    <row r="110" spans="1:10" x14ac:dyDescent="0.2">
      <c r="A110" s="18" t="s">
        <v>3</v>
      </c>
      <c r="B110" s="2" t="str">
        <f>"V-"&amp;Table3[[#This Row],[Ticket_ID]]</f>
        <v>V-209</v>
      </c>
      <c r="C110" s="24">
        <f>Table3[[#This Row],[Date_Opened]]</f>
        <v>45674</v>
      </c>
      <c r="D110" s="24">
        <f>Table3[[#This Row],[Date_Resolved]]</f>
        <v>45674</v>
      </c>
      <c r="E110" s="25">
        <v>334</v>
      </c>
      <c r="F110" s="9">
        <v>100</v>
      </c>
      <c r="G110" s="9">
        <f>Table6[[#This Row],[Quantity]]*Table6[[#This Row],[Unit Price]]</f>
        <v>33400</v>
      </c>
      <c r="H110" s="23" t="s">
        <v>44</v>
      </c>
      <c r="I110" s="23" t="s">
        <v>64</v>
      </c>
      <c r="J110" s="9" t="str">
        <f>IF(Table6[[#This Row],[Order_Status]]="Delivered","Resolved","Open")</f>
        <v>Resolved</v>
      </c>
    </row>
    <row r="111" spans="1:10" x14ac:dyDescent="0.2">
      <c r="A111" s="19" t="s">
        <v>22</v>
      </c>
      <c r="B111" s="2" t="str">
        <f>"V-"&amp;Table3[[#This Row],[Ticket_ID]]</f>
        <v>V-210</v>
      </c>
      <c r="C111" s="24">
        <f>Table3[[#This Row],[Date_Opened]]</f>
        <v>45688</v>
      </c>
      <c r="D111" s="24">
        <f>Table3[[#This Row],[Date_Resolved]]</f>
        <v>45692</v>
      </c>
      <c r="E111" s="25">
        <v>197</v>
      </c>
      <c r="F111" s="9">
        <v>20</v>
      </c>
      <c r="G111" s="9">
        <f>Table6[[#This Row],[Quantity]]*Table6[[#This Row],[Unit Price]]</f>
        <v>3940</v>
      </c>
      <c r="H111" s="23" t="s">
        <v>41</v>
      </c>
      <c r="I111" s="23" t="s">
        <v>66</v>
      </c>
      <c r="J111" s="9" t="str">
        <f>IF(Table6[[#This Row],[Order_Status]]="Delivered","Resolved","Open")</f>
        <v>Open</v>
      </c>
    </row>
    <row r="112" spans="1:10" x14ac:dyDescent="0.2">
      <c r="A112" s="18" t="s">
        <v>22</v>
      </c>
      <c r="B112" s="2" t="str">
        <f>"V-"&amp;Table3[[#This Row],[Ticket_ID]]</f>
        <v>V-211</v>
      </c>
      <c r="C112" s="24">
        <f>Table3[[#This Row],[Date_Opened]]</f>
        <v>45673</v>
      </c>
      <c r="D112" s="24">
        <f>Table3[[#This Row],[Date_Resolved]]</f>
        <v>45679</v>
      </c>
      <c r="E112" s="25">
        <v>179</v>
      </c>
      <c r="F112" s="9">
        <v>15</v>
      </c>
      <c r="G112" s="9">
        <f>Table6[[#This Row],[Quantity]]*Table6[[#This Row],[Unit Price]]</f>
        <v>2685</v>
      </c>
      <c r="H112" s="23" t="s">
        <v>43</v>
      </c>
      <c r="I112" s="23" t="s">
        <v>64</v>
      </c>
      <c r="J112" s="9" t="str">
        <f>IF(Table6[[#This Row],[Order_Status]]="Delivered","Resolved","Open")</f>
        <v>Resolved</v>
      </c>
    </row>
    <row r="113" spans="1:10" x14ac:dyDescent="0.2">
      <c r="A113" s="19" t="s">
        <v>20</v>
      </c>
      <c r="B113" s="2" t="str">
        <f>"V-"&amp;Table3[[#This Row],[Ticket_ID]]</f>
        <v>V-212</v>
      </c>
      <c r="C113" s="24">
        <f>Table3[[#This Row],[Date_Opened]]</f>
        <v>45684</v>
      </c>
      <c r="D113" s="24">
        <f>Table3[[#This Row],[Date_Resolved]]</f>
        <v>45691</v>
      </c>
      <c r="E113" s="25">
        <v>317</v>
      </c>
      <c r="F113" s="9">
        <v>23</v>
      </c>
      <c r="G113" s="9">
        <f>Table6[[#This Row],[Quantity]]*Table6[[#This Row],[Unit Price]]</f>
        <v>7291</v>
      </c>
      <c r="H113" s="23" t="s">
        <v>42</v>
      </c>
      <c r="I113" s="23" t="s">
        <v>64</v>
      </c>
      <c r="J113" s="9" t="str">
        <f>IF(Table6[[#This Row],[Order_Status]]="Delivered","Resolved","Open")</f>
        <v>Resolved</v>
      </c>
    </row>
    <row r="114" spans="1:10" x14ac:dyDescent="0.2">
      <c r="A114" s="18" t="s">
        <v>22</v>
      </c>
      <c r="B114" s="2" t="str">
        <f>"V-"&amp;Table3[[#This Row],[Ticket_ID]]</f>
        <v>V-213</v>
      </c>
      <c r="C114" s="24">
        <f>Table3[[#This Row],[Date_Opened]]</f>
        <v>45680</v>
      </c>
      <c r="D114" s="24">
        <f>Table3[[#This Row],[Date_Resolved]]</f>
        <v>45686</v>
      </c>
      <c r="E114" s="25">
        <v>250</v>
      </c>
      <c r="F114" s="9">
        <v>10</v>
      </c>
      <c r="G114" s="9">
        <f>Table6[[#This Row],[Quantity]]*Table6[[#This Row],[Unit Price]]</f>
        <v>2500</v>
      </c>
      <c r="H114" s="23" t="s">
        <v>43</v>
      </c>
      <c r="I114" s="23" t="s">
        <v>64</v>
      </c>
      <c r="J114" s="9" t="str">
        <f>IF(Table6[[#This Row],[Order_Status]]="Delivered","Resolved","Open")</f>
        <v>Resolved</v>
      </c>
    </row>
    <row r="115" spans="1:10" x14ac:dyDescent="0.2">
      <c r="A115" s="19" t="s">
        <v>21</v>
      </c>
      <c r="B115" s="2" t="str">
        <f>"V-"&amp;Table3[[#This Row],[Ticket_ID]]</f>
        <v>V-214</v>
      </c>
      <c r="C115" s="24">
        <f>Table3[[#This Row],[Date_Opened]]</f>
        <v>45660</v>
      </c>
      <c r="D115" s="24">
        <f>Table3[[#This Row],[Date_Resolved]]</f>
        <v>45665</v>
      </c>
      <c r="E115" s="25">
        <v>263</v>
      </c>
      <c r="F115" s="9">
        <v>20</v>
      </c>
      <c r="G115" s="9">
        <f>Table6[[#This Row],[Quantity]]*Table6[[#This Row],[Unit Price]]</f>
        <v>5260</v>
      </c>
      <c r="H115" s="23" t="s">
        <v>40</v>
      </c>
      <c r="I115" s="23" t="s">
        <v>64</v>
      </c>
      <c r="J115" s="9" t="str">
        <f>IF(Table6[[#This Row],[Order_Status]]="Delivered","Resolved","Open")</f>
        <v>Resolved</v>
      </c>
    </row>
    <row r="116" spans="1:10" x14ac:dyDescent="0.2">
      <c r="A116" s="18" t="s">
        <v>3</v>
      </c>
      <c r="B116" s="2" t="str">
        <f>"V-"&amp;Table3[[#This Row],[Ticket_ID]]</f>
        <v>V-215</v>
      </c>
      <c r="C116" s="24">
        <f>Table3[[#This Row],[Date_Opened]]</f>
        <v>45687</v>
      </c>
      <c r="D116" s="24">
        <f>Table3[[#This Row],[Date_Resolved]]</f>
        <v>45691</v>
      </c>
      <c r="E116" s="25">
        <v>346</v>
      </c>
      <c r="F116" s="9">
        <v>16</v>
      </c>
      <c r="G116" s="9">
        <f>Table6[[#This Row],[Quantity]]*Table6[[#This Row],[Unit Price]]</f>
        <v>5536</v>
      </c>
      <c r="H116" s="23" t="s">
        <v>43</v>
      </c>
      <c r="I116" s="23" t="s">
        <v>64</v>
      </c>
      <c r="J116" s="9" t="str">
        <f>IF(Table6[[#This Row],[Order_Status]]="Delivered","Resolved","Open")</f>
        <v>Resolved</v>
      </c>
    </row>
    <row r="117" spans="1:10" x14ac:dyDescent="0.2">
      <c r="A117" s="19" t="s">
        <v>23</v>
      </c>
      <c r="B117" s="2" t="str">
        <f>"V-"&amp;Table3[[#This Row],[Ticket_ID]]</f>
        <v>V-216</v>
      </c>
      <c r="C117" s="24">
        <f>Table3[[#This Row],[Date_Opened]]</f>
        <v>45683</v>
      </c>
      <c r="D117" s="24">
        <f>Table3[[#This Row],[Date_Resolved]]</f>
        <v>45683</v>
      </c>
      <c r="E117" s="25">
        <v>246</v>
      </c>
      <c r="F117" s="9">
        <v>18</v>
      </c>
      <c r="G117" s="9">
        <f>Table6[[#This Row],[Quantity]]*Table6[[#This Row],[Unit Price]]</f>
        <v>4428</v>
      </c>
      <c r="H117" s="23" t="s">
        <v>41</v>
      </c>
      <c r="I117" s="23" t="s">
        <v>64</v>
      </c>
      <c r="J117" s="9" t="str">
        <f>IF(Table6[[#This Row],[Order_Status]]="Delivered","Resolved","Open")</f>
        <v>Resolved</v>
      </c>
    </row>
    <row r="118" spans="1:10" x14ac:dyDescent="0.2">
      <c r="A118" s="18" t="s">
        <v>23</v>
      </c>
      <c r="B118" s="2" t="str">
        <f>"V-"&amp;Table3[[#This Row],[Ticket_ID]]</f>
        <v>V-217</v>
      </c>
      <c r="C118" s="24">
        <f>Table3[[#This Row],[Date_Opened]]</f>
        <v>45660</v>
      </c>
      <c r="D118" s="24">
        <f>Table3[[#This Row],[Date_Resolved]]</f>
        <v>45664</v>
      </c>
      <c r="E118" s="25">
        <v>257</v>
      </c>
      <c r="F118" s="9">
        <v>5</v>
      </c>
      <c r="G118" s="9">
        <f>Table6[[#This Row],[Quantity]]*Table6[[#This Row],[Unit Price]]</f>
        <v>1285</v>
      </c>
      <c r="H118" s="23" t="s">
        <v>42</v>
      </c>
      <c r="I118" s="23" t="s">
        <v>64</v>
      </c>
      <c r="J118" s="9" t="str">
        <f>IF(Table6[[#This Row],[Order_Status]]="Delivered","Resolved","Open")</f>
        <v>Resolved</v>
      </c>
    </row>
    <row r="119" spans="1:10" x14ac:dyDescent="0.2">
      <c r="A119" s="19" t="s">
        <v>2</v>
      </c>
      <c r="B119" s="2" t="str">
        <f>"V-"&amp;Table3[[#This Row],[Ticket_ID]]</f>
        <v>V-218</v>
      </c>
      <c r="C119" s="24">
        <f>Table3[[#This Row],[Date_Opened]]</f>
        <v>45659</v>
      </c>
      <c r="D119" s="24">
        <f>Table3[[#This Row],[Date_Resolved]]</f>
        <v>45663</v>
      </c>
      <c r="E119" s="25">
        <v>189</v>
      </c>
      <c r="F119" s="9">
        <v>20</v>
      </c>
      <c r="G119" s="9">
        <f>Table6[[#This Row],[Quantity]]*Table6[[#This Row],[Unit Price]]</f>
        <v>3780</v>
      </c>
      <c r="H119" s="23" t="s">
        <v>43</v>
      </c>
      <c r="I119" s="23" t="s">
        <v>65</v>
      </c>
      <c r="J119" s="9" t="str">
        <f>IF(Table6[[#This Row],[Order_Status]]="Delivered","Resolved","Open")</f>
        <v>Open</v>
      </c>
    </row>
    <row r="120" spans="1:10" x14ac:dyDescent="0.2">
      <c r="A120" s="18" t="s">
        <v>23</v>
      </c>
      <c r="B120" s="2" t="str">
        <f>"V-"&amp;Table3[[#This Row],[Ticket_ID]]</f>
        <v>V-219</v>
      </c>
      <c r="C120" s="24">
        <f>Table3[[#This Row],[Date_Opened]]</f>
        <v>45662</v>
      </c>
      <c r="D120" s="24">
        <f>Table3[[#This Row],[Date_Resolved]]</f>
        <v>45667</v>
      </c>
      <c r="E120" s="25">
        <v>251</v>
      </c>
      <c r="F120" s="9">
        <v>30</v>
      </c>
      <c r="G120" s="9">
        <f>Table6[[#This Row],[Quantity]]*Table6[[#This Row],[Unit Price]]</f>
        <v>7530</v>
      </c>
      <c r="H120" s="23" t="s">
        <v>41</v>
      </c>
      <c r="I120" s="23" t="s">
        <v>64</v>
      </c>
      <c r="J120" s="9" t="str">
        <f>IF(Table6[[#This Row],[Order_Status]]="Delivered","Resolved","Open")</f>
        <v>Resolved</v>
      </c>
    </row>
    <row r="121" spans="1:10" x14ac:dyDescent="0.2">
      <c r="A121" s="19" t="s">
        <v>2</v>
      </c>
      <c r="B121" s="2" t="str">
        <f>"V-"&amp;Table3[[#This Row],[Ticket_ID]]</f>
        <v>V-220</v>
      </c>
      <c r="C121" s="24">
        <f>Table3[[#This Row],[Date_Opened]]</f>
        <v>45668</v>
      </c>
      <c r="D121" s="24">
        <f>Table3[[#This Row],[Date_Resolved]]</f>
        <v>45673</v>
      </c>
      <c r="E121" s="25">
        <v>175</v>
      </c>
      <c r="F121" s="9">
        <v>28</v>
      </c>
      <c r="G121" s="9">
        <f>Table6[[#This Row],[Quantity]]*Table6[[#This Row],[Unit Price]]</f>
        <v>4900</v>
      </c>
      <c r="H121" s="23" t="s">
        <v>40</v>
      </c>
      <c r="I121" s="23" t="s">
        <v>64</v>
      </c>
      <c r="J121" s="9" t="str">
        <f>IF(Table6[[#This Row],[Order_Status]]="Delivered","Resolved","Open")</f>
        <v>Resolved</v>
      </c>
    </row>
    <row r="122" spans="1:10" x14ac:dyDescent="0.2">
      <c r="A122" s="18" t="s">
        <v>1</v>
      </c>
      <c r="B122" s="2" t="str">
        <f>"V-"&amp;Table3[[#This Row],[Ticket_ID]]</f>
        <v>V-221</v>
      </c>
      <c r="C122" s="24">
        <f>Table3[[#This Row],[Date_Opened]]</f>
        <v>45664</v>
      </c>
      <c r="D122" s="24">
        <f>Table3[[#This Row],[Date_Resolved]]</f>
        <v>45664</v>
      </c>
      <c r="E122" s="25">
        <v>388</v>
      </c>
      <c r="F122" s="9">
        <v>72</v>
      </c>
      <c r="G122" s="9">
        <f>Table6[[#This Row],[Quantity]]*Table6[[#This Row],[Unit Price]]</f>
        <v>27936</v>
      </c>
      <c r="H122" s="23" t="s">
        <v>44</v>
      </c>
      <c r="I122" s="23" t="s">
        <v>64</v>
      </c>
      <c r="J122" s="9" t="str">
        <f>IF(Table6[[#This Row],[Order_Status]]="Delivered","Resolved","Open")</f>
        <v>Resolved</v>
      </c>
    </row>
    <row r="123" spans="1:10" x14ac:dyDescent="0.2">
      <c r="A123" s="19" t="s">
        <v>4</v>
      </c>
      <c r="B123" s="2" t="str">
        <f>"V-"&amp;Table3[[#This Row],[Ticket_ID]]</f>
        <v>V-222</v>
      </c>
      <c r="C123" s="24">
        <f>Table3[[#This Row],[Date_Opened]]</f>
        <v>45687</v>
      </c>
      <c r="D123" s="24">
        <f>Table3[[#This Row],[Date_Resolved]]</f>
        <v>45693</v>
      </c>
      <c r="E123" s="25">
        <v>309</v>
      </c>
      <c r="F123" s="9">
        <v>24</v>
      </c>
      <c r="G123" s="9">
        <f>Table6[[#This Row],[Quantity]]*Table6[[#This Row],[Unit Price]]</f>
        <v>7416</v>
      </c>
      <c r="H123" s="23" t="s">
        <v>43</v>
      </c>
      <c r="I123" s="23" t="s">
        <v>64</v>
      </c>
      <c r="J123" s="9" t="str">
        <f>IF(Table6[[#This Row],[Order_Status]]="Delivered","Resolved","Open")</f>
        <v>Resolved</v>
      </c>
    </row>
    <row r="124" spans="1:10" x14ac:dyDescent="0.2">
      <c r="A124" s="18" t="s">
        <v>22</v>
      </c>
      <c r="B124" s="2" t="str">
        <f>"V-"&amp;Table3[[#This Row],[Ticket_ID]]</f>
        <v>V-223</v>
      </c>
      <c r="C124" s="24">
        <f>Table3[[#This Row],[Date_Opened]]</f>
        <v>45685</v>
      </c>
      <c r="D124" s="24">
        <f>Table3[[#This Row],[Date_Resolved]]</f>
        <v>45689</v>
      </c>
      <c r="E124" s="25">
        <v>465</v>
      </c>
      <c r="F124" s="9">
        <v>61</v>
      </c>
      <c r="G124" s="9">
        <f>Table6[[#This Row],[Quantity]]*Table6[[#This Row],[Unit Price]]</f>
        <v>28365</v>
      </c>
      <c r="H124" s="23" t="s">
        <v>44</v>
      </c>
      <c r="I124" s="23" t="s">
        <v>64</v>
      </c>
      <c r="J124" s="9" t="str">
        <f>IF(Table6[[#This Row],[Order_Status]]="Delivered","Resolved","Open")</f>
        <v>Resolved</v>
      </c>
    </row>
    <row r="125" spans="1:10" x14ac:dyDescent="0.2">
      <c r="A125" s="19" t="s">
        <v>4</v>
      </c>
      <c r="B125" s="2" t="str">
        <f>"V-"&amp;Table3[[#This Row],[Ticket_ID]]</f>
        <v>V-224</v>
      </c>
      <c r="C125" s="24">
        <f>Table3[[#This Row],[Date_Opened]]</f>
        <v>45668</v>
      </c>
      <c r="D125" s="24">
        <f>Table3[[#This Row],[Date_Resolved]]</f>
        <v>45673</v>
      </c>
      <c r="E125" s="25">
        <v>191</v>
      </c>
      <c r="F125" s="9">
        <v>26</v>
      </c>
      <c r="G125" s="9">
        <f>Table6[[#This Row],[Quantity]]*Table6[[#This Row],[Unit Price]]</f>
        <v>4966</v>
      </c>
      <c r="H125" s="23" t="s">
        <v>43</v>
      </c>
      <c r="I125" s="23" t="s">
        <v>64</v>
      </c>
      <c r="J125" s="9" t="str">
        <f>IF(Table6[[#This Row],[Order_Status]]="Delivered","Resolved","Open")</f>
        <v>Resolved</v>
      </c>
    </row>
    <row r="126" spans="1:10" x14ac:dyDescent="0.2">
      <c r="A126" s="18" t="s">
        <v>21</v>
      </c>
      <c r="B126" s="2" t="str">
        <f>"V-"&amp;Table3[[#This Row],[Ticket_ID]]</f>
        <v>V-225</v>
      </c>
      <c r="C126" s="24">
        <f>Table3[[#This Row],[Date_Opened]]</f>
        <v>45686</v>
      </c>
      <c r="D126" s="24">
        <f>Table3[[#This Row],[Date_Resolved]]</f>
        <v>45692</v>
      </c>
      <c r="E126" s="25">
        <v>231</v>
      </c>
      <c r="F126" s="9">
        <v>32</v>
      </c>
      <c r="G126" s="9">
        <f>Table6[[#This Row],[Quantity]]*Table6[[#This Row],[Unit Price]]</f>
        <v>7392</v>
      </c>
      <c r="H126" s="23" t="s">
        <v>40</v>
      </c>
      <c r="I126" s="23" t="s">
        <v>64</v>
      </c>
      <c r="J126" s="9" t="str">
        <f>IF(Table6[[#This Row],[Order_Status]]="Delivered","Resolved","Open")</f>
        <v>Resolved</v>
      </c>
    </row>
    <row r="127" spans="1:10" x14ac:dyDescent="0.2">
      <c r="A127" s="19" t="s">
        <v>20</v>
      </c>
      <c r="B127" s="2" t="str">
        <f>"V-"&amp;Table3[[#This Row],[Ticket_ID]]</f>
        <v>V-226</v>
      </c>
      <c r="C127" s="24">
        <f>Table3[[#This Row],[Date_Opened]]</f>
        <v>45660</v>
      </c>
      <c r="D127" s="24">
        <f>Table3[[#This Row],[Date_Resolved]]</f>
        <v>45665</v>
      </c>
      <c r="E127" s="25">
        <v>317</v>
      </c>
      <c r="F127" s="9">
        <v>73</v>
      </c>
      <c r="G127" s="9">
        <f>Table6[[#This Row],[Quantity]]*Table6[[#This Row],[Unit Price]]</f>
        <v>23141</v>
      </c>
      <c r="H127" s="23" t="s">
        <v>44</v>
      </c>
      <c r="I127" s="23" t="s">
        <v>64</v>
      </c>
      <c r="J127" s="9" t="str">
        <f>IF(Table6[[#This Row],[Order_Status]]="Delivered","Resolved","Open")</f>
        <v>Resolved</v>
      </c>
    </row>
    <row r="128" spans="1:10" x14ac:dyDescent="0.2">
      <c r="A128" s="18" t="s">
        <v>4</v>
      </c>
      <c r="B128" s="2" t="str">
        <f>"V-"&amp;Table3[[#This Row],[Ticket_ID]]</f>
        <v>V-227</v>
      </c>
      <c r="C128" s="24">
        <f>Table3[[#This Row],[Date_Opened]]</f>
        <v>45678</v>
      </c>
      <c r="D128" s="24">
        <f>Table3[[#This Row],[Date_Resolved]]</f>
        <v>45680</v>
      </c>
      <c r="E128" s="25">
        <v>154</v>
      </c>
      <c r="F128" s="9">
        <v>8</v>
      </c>
      <c r="G128" s="9">
        <f>Table6[[#This Row],[Quantity]]*Table6[[#This Row],[Unit Price]]</f>
        <v>1232</v>
      </c>
      <c r="H128" s="23" t="s">
        <v>43</v>
      </c>
      <c r="I128" s="23" t="s">
        <v>64</v>
      </c>
      <c r="J128" s="9" t="str">
        <f>IF(Table6[[#This Row],[Order_Status]]="Delivered","Resolved","Open")</f>
        <v>Resolved</v>
      </c>
    </row>
    <row r="129" spans="1:10" x14ac:dyDescent="0.2">
      <c r="A129" s="19" t="s">
        <v>23</v>
      </c>
      <c r="B129" s="2" t="str">
        <f>"V-"&amp;Table3[[#This Row],[Ticket_ID]]</f>
        <v>V-228</v>
      </c>
      <c r="C129" s="24">
        <f>Table3[[#This Row],[Date_Opened]]</f>
        <v>45661</v>
      </c>
      <c r="D129" s="24">
        <f>Table3[[#This Row],[Date_Resolved]]</f>
        <v>45664</v>
      </c>
      <c r="E129" s="25">
        <v>105</v>
      </c>
      <c r="F129" s="9">
        <v>10</v>
      </c>
      <c r="G129" s="9">
        <f>Table6[[#This Row],[Quantity]]*Table6[[#This Row],[Unit Price]]</f>
        <v>1050</v>
      </c>
      <c r="H129" s="23" t="s">
        <v>40</v>
      </c>
      <c r="I129" s="23" t="s">
        <v>65</v>
      </c>
      <c r="J129" s="9" t="str">
        <f>IF(Table6[[#This Row],[Order_Status]]="Delivered","Resolved","Open")</f>
        <v>Open</v>
      </c>
    </row>
    <row r="130" spans="1:10" x14ac:dyDescent="0.2">
      <c r="A130" s="18" t="s">
        <v>2</v>
      </c>
      <c r="B130" s="2" t="str">
        <f>"V-"&amp;Table3[[#This Row],[Ticket_ID]]</f>
        <v>V-229</v>
      </c>
      <c r="C130" s="24">
        <f>Table3[[#This Row],[Date_Opened]]</f>
        <v>45681</v>
      </c>
      <c r="D130" s="24">
        <f>Table3[[#This Row],[Date_Resolved]]</f>
        <v>45683</v>
      </c>
      <c r="E130" s="25">
        <v>275</v>
      </c>
      <c r="F130" s="9">
        <v>27</v>
      </c>
      <c r="G130" s="9">
        <f>Table6[[#This Row],[Quantity]]*Table6[[#This Row],[Unit Price]]</f>
        <v>7425</v>
      </c>
      <c r="H130" s="23" t="s">
        <v>40</v>
      </c>
      <c r="I130" s="23" t="s">
        <v>64</v>
      </c>
      <c r="J130" s="9" t="str">
        <f>IF(Table6[[#This Row],[Order_Status]]="Delivered","Resolved","Open")</f>
        <v>Resolved</v>
      </c>
    </row>
    <row r="131" spans="1:10" x14ac:dyDescent="0.2">
      <c r="A131" s="19" t="s">
        <v>22</v>
      </c>
      <c r="B131" s="2" t="str">
        <f>"V-"&amp;Table3[[#This Row],[Ticket_ID]]</f>
        <v>V-230</v>
      </c>
      <c r="C131" s="24">
        <f>Table3[[#This Row],[Date_Opened]]</f>
        <v>45683</v>
      </c>
      <c r="D131" s="24">
        <f>Table3[[#This Row],[Date_Resolved]]</f>
        <v>45684</v>
      </c>
      <c r="E131" s="25">
        <v>345</v>
      </c>
      <c r="F131" s="9">
        <v>18</v>
      </c>
      <c r="G131" s="9">
        <f>Table6[[#This Row],[Quantity]]*Table6[[#This Row],[Unit Price]]</f>
        <v>6210</v>
      </c>
      <c r="H131" s="23" t="s">
        <v>43</v>
      </c>
      <c r="I131" s="23" t="s">
        <v>64</v>
      </c>
      <c r="J131" s="9" t="str">
        <f>IF(Table6[[#This Row],[Order_Status]]="Delivered","Resolved","Open")</f>
        <v>Resolved</v>
      </c>
    </row>
    <row r="132" spans="1:10" x14ac:dyDescent="0.2">
      <c r="A132" s="18" t="s">
        <v>2</v>
      </c>
      <c r="B132" s="2" t="str">
        <f>"V-"&amp;Table3[[#This Row],[Ticket_ID]]</f>
        <v>V-231</v>
      </c>
      <c r="C132" s="24">
        <f>Table3[[#This Row],[Date_Opened]]</f>
        <v>45665</v>
      </c>
      <c r="D132" s="24">
        <f>Table3[[#This Row],[Date_Resolved]]</f>
        <v>45665</v>
      </c>
      <c r="E132" s="25">
        <v>302</v>
      </c>
      <c r="F132" s="9">
        <v>22</v>
      </c>
      <c r="G132" s="9">
        <f>Table6[[#This Row],[Quantity]]*Table6[[#This Row],[Unit Price]]</f>
        <v>6644</v>
      </c>
      <c r="H132" s="23" t="s">
        <v>40</v>
      </c>
      <c r="I132" s="23" t="s">
        <v>64</v>
      </c>
      <c r="J132" s="9" t="str">
        <f>IF(Table6[[#This Row],[Order_Status]]="Delivered","Resolved","Open")</f>
        <v>Resolved</v>
      </c>
    </row>
    <row r="133" spans="1:10" x14ac:dyDescent="0.2">
      <c r="A133" s="19" t="s">
        <v>23</v>
      </c>
      <c r="B133" s="2" t="str">
        <f>"V-"&amp;Table3[[#This Row],[Ticket_ID]]</f>
        <v>V-232</v>
      </c>
      <c r="C133" s="24">
        <f>Table3[[#This Row],[Date_Opened]]</f>
        <v>45668</v>
      </c>
      <c r="D133" s="24">
        <f>Table3[[#This Row],[Date_Resolved]]</f>
        <v>45669</v>
      </c>
      <c r="E133" s="25">
        <v>142</v>
      </c>
      <c r="F133" s="9">
        <v>20</v>
      </c>
      <c r="G133" s="9">
        <f>Table6[[#This Row],[Quantity]]*Table6[[#This Row],[Unit Price]]</f>
        <v>2840</v>
      </c>
      <c r="H133" s="23" t="s">
        <v>41</v>
      </c>
      <c r="I133" s="23" t="s">
        <v>64</v>
      </c>
      <c r="J133" s="9" t="str">
        <f>IF(Table6[[#This Row],[Order_Status]]="Delivered","Resolved","Open")</f>
        <v>Resolved</v>
      </c>
    </row>
    <row r="134" spans="1:10" x14ac:dyDescent="0.2">
      <c r="A134" s="18" t="s">
        <v>2</v>
      </c>
      <c r="B134" s="2" t="str">
        <f>"V-"&amp;Table3[[#This Row],[Ticket_ID]]</f>
        <v>V-233</v>
      </c>
      <c r="C134" s="24">
        <f>Table3[[#This Row],[Date_Opened]]</f>
        <v>45681</v>
      </c>
      <c r="D134" s="24">
        <f>Table3[[#This Row],[Date_Resolved]]</f>
        <v>45687</v>
      </c>
      <c r="E134" s="25">
        <v>322</v>
      </c>
      <c r="F134" s="9">
        <v>33</v>
      </c>
      <c r="G134" s="9">
        <f>Table6[[#This Row],[Quantity]]*Table6[[#This Row],[Unit Price]]</f>
        <v>10626</v>
      </c>
      <c r="H134" s="23" t="s">
        <v>40</v>
      </c>
      <c r="I134" s="23" t="s">
        <v>64</v>
      </c>
      <c r="J134" s="9" t="str">
        <f>IF(Table6[[#This Row],[Order_Status]]="Delivered","Resolved","Open")</f>
        <v>Resolved</v>
      </c>
    </row>
    <row r="135" spans="1:10" x14ac:dyDescent="0.2">
      <c r="A135" s="19" t="s">
        <v>2</v>
      </c>
      <c r="B135" s="2" t="str">
        <f>"V-"&amp;Table3[[#This Row],[Ticket_ID]]</f>
        <v>V-234</v>
      </c>
      <c r="C135" s="24">
        <f>Table3[[#This Row],[Date_Opened]]</f>
        <v>45682</v>
      </c>
      <c r="D135" s="24">
        <f>Table3[[#This Row],[Date_Resolved]]</f>
        <v>45689</v>
      </c>
      <c r="E135" s="25">
        <v>265</v>
      </c>
      <c r="F135" s="9">
        <v>9</v>
      </c>
      <c r="G135" s="9">
        <f>Table6[[#This Row],[Quantity]]*Table6[[#This Row],[Unit Price]]</f>
        <v>2385</v>
      </c>
      <c r="H135" s="23" t="s">
        <v>43</v>
      </c>
      <c r="I135" s="23" t="s">
        <v>64</v>
      </c>
      <c r="J135" s="9" t="str">
        <f>IF(Table6[[#This Row],[Order_Status]]="Delivered","Resolved","Open")</f>
        <v>Resolved</v>
      </c>
    </row>
    <row r="136" spans="1:10" x14ac:dyDescent="0.2">
      <c r="A136" s="18" t="s">
        <v>2</v>
      </c>
      <c r="B136" s="2" t="str">
        <f>"V-"&amp;Table3[[#This Row],[Ticket_ID]]</f>
        <v>V-235</v>
      </c>
      <c r="C136" s="24">
        <f>Table3[[#This Row],[Date_Opened]]</f>
        <v>45677</v>
      </c>
      <c r="D136" s="24">
        <f>Table3[[#This Row],[Date_Resolved]]</f>
        <v>45680</v>
      </c>
      <c r="E136" s="25">
        <v>544</v>
      </c>
      <c r="F136" s="9">
        <v>53</v>
      </c>
      <c r="G136" s="9">
        <f>Table6[[#This Row],[Quantity]]*Table6[[#This Row],[Unit Price]]</f>
        <v>28832</v>
      </c>
      <c r="H136" s="23" t="s">
        <v>44</v>
      </c>
      <c r="I136" s="23" t="s">
        <v>64</v>
      </c>
      <c r="J136" s="9" t="str">
        <f>IF(Table6[[#This Row],[Order_Status]]="Delivered","Resolved","Open")</f>
        <v>Resolved</v>
      </c>
    </row>
    <row r="137" spans="1:10" x14ac:dyDescent="0.2">
      <c r="A137" s="19" t="s">
        <v>23</v>
      </c>
      <c r="B137" s="2" t="str">
        <f>"V-"&amp;Table3[[#This Row],[Ticket_ID]]</f>
        <v>V-236</v>
      </c>
      <c r="C137" s="24">
        <f>Table3[[#This Row],[Date_Opened]]</f>
        <v>45687</v>
      </c>
      <c r="D137" s="24">
        <f>Table3[[#This Row],[Date_Resolved]]</f>
        <v>45690</v>
      </c>
      <c r="E137" s="25">
        <v>534</v>
      </c>
      <c r="F137" s="9">
        <v>40</v>
      </c>
      <c r="G137" s="9">
        <f>Table6[[#This Row],[Quantity]]*Table6[[#This Row],[Unit Price]]</f>
        <v>21360</v>
      </c>
      <c r="H137" s="23" t="s">
        <v>44</v>
      </c>
      <c r="I137" s="23" t="s">
        <v>64</v>
      </c>
      <c r="J137" s="9" t="str">
        <f>IF(Table6[[#This Row],[Order_Status]]="Delivered","Resolved","Open")</f>
        <v>Resolved</v>
      </c>
    </row>
    <row r="138" spans="1:10" x14ac:dyDescent="0.2">
      <c r="A138" s="18" t="s">
        <v>22</v>
      </c>
      <c r="B138" s="2" t="str">
        <f>"V-"&amp;Table3[[#This Row],[Ticket_ID]]</f>
        <v>V-237</v>
      </c>
      <c r="C138" s="24">
        <f>Table3[[#This Row],[Date_Opened]]</f>
        <v>45672</v>
      </c>
      <c r="D138" s="24">
        <f>Table3[[#This Row],[Date_Resolved]]</f>
        <v>45676</v>
      </c>
      <c r="E138" s="25">
        <v>325</v>
      </c>
      <c r="F138" s="9">
        <v>9</v>
      </c>
      <c r="G138" s="9">
        <f>Table6[[#This Row],[Quantity]]*Table6[[#This Row],[Unit Price]]</f>
        <v>2925</v>
      </c>
      <c r="H138" s="23" t="s">
        <v>42</v>
      </c>
      <c r="I138" s="23" t="s">
        <v>64</v>
      </c>
      <c r="J138" s="9" t="str">
        <f>IF(Table6[[#This Row],[Order_Status]]="Delivered","Resolved","Open")</f>
        <v>Resolved</v>
      </c>
    </row>
    <row r="139" spans="1:10" x14ac:dyDescent="0.2">
      <c r="A139" s="19" t="s">
        <v>4</v>
      </c>
      <c r="B139" s="2" t="str">
        <f>"V-"&amp;Table3[[#This Row],[Ticket_ID]]</f>
        <v>V-238</v>
      </c>
      <c r="C139" s="24">
        <f>Table3[[#This Row],[Date_Opened]]</f>
        <v>45687</v>
      </c>
      <c r="D139" s="24">
        <f>Table3[[#This Row],[Date_Resolved]]</f>
        <v>45689</v>
      </c>
      <c r="E139" s="25">
        <v>393</v>
      </c>
      <c r="F139" s="9">
        <v>25</v>
      </c>
      <c r="G139" s="9">
        <f>Table6[[#This Row],[Quantity]]*Table6[[#This Row],[Unit Price]]</f>
        <v>9825</v>
      </c>
      <c r="H139" s="23" t="s">
        <v>42</v>
      </c>
      <c r="I139" s="23" t="s">
        <v>64</v>
      </c>
      <c r="J139" s="9" t="str">
        <f>IF(Table6[[#This Row],[Order_Status]]="Delivered","Resolved","Open")</f>
        <v>Resolved</v>
      </c>
    </row>
    <row r="140" spans="1:10" x14ac:dyDescent="0.2">
      <c r="A140" s="18" t="s">
        <v>21</v>
      </c>
      <c r="B140" s="2" t="str">
        <f>"V-"&amp;Table3[[#This Row],[Ticket_ID]]</f>
        <v>V-239</v>
      </c>
      <c r="C140" s="24">
        <f>Table3[[#This Row],[Date_Opened]]</f>
        <v>45679</v>
      </c>
      <c r="D140" s="24">
        <f>Table3[[#This Row],[Date_Resolved]]</f>
        <v>45679</v>
      </c>
      <c r="E140" s="25">
        <v>403</v>
      </c>
      <c r="F140" s="9">
        <v>18</v>
      </c>
      <c r="G140" s="9">
        <f>Table6[[#This Row],[Quantity]]*Table6[[#This Row],[Unit Price]]</f>
        <v>7254</v>
      </c>
      <c r="H140" s="23" t="s">
        <v>42</v>
      </c>
      <c r="I140" s="23" t="s">
        <v>64</v>
      </c>
      <c r="J140" s="9" t="str">
        <f>IF(Table6[[#This Row],[Order_Status]]="Delivered","Resolved","Open")</f>
        <v>Resolved</v>
      </c>
    </row>
    <row r="141" spans="1:10" x14ac:dyDescent="0.2">
      <c r="A141" s="19" t="s">
        <v>20</v>
      </c>
      <c r="B141" s="2" t="str">
        <f>"V-"&amp;Table3[[#This Row],[Ticket_ID]]</f>
        <v>V-240</v>
      </c>
      <c r="C141" s="24">
        <f>Table3[[#This Row],[Date_Opened]]</f>
        <v>45660</v>
      </c>
      <c r="D141" s="24">
        <f>Table3[[#This Row],[Date_Resolved]]</f>
        <v>45666</v>
      </c>
      <c r="E141" s="25">
        <v>119</v>
      </c>
      <c r="F141" s="9">
        <v>23</v>
      </c>
      <c r="G141" s="9">
        <f>Table6[[#This Row],[Quantity]]*Table6[[#This Row],[Unit Price]]</f>
        <v>2737</v>
      </c>
      <c r="H141" s="23" t="s">
        <v>41</v>
      </c>
      <c r="I141" s="23" t="s">
        <v>64</v>
      </c>
      <c r="J141" s="9" t="str">
        <f>IF(Table6[[#This Row],[Order_Status]]="Delivered","Resolved","Open")</f>
        <v>Resolved</v>
      </c>
    </row>
    <row r="142" spans="1:10" x14ac:dyDescent="0.2">
      <c r="A142" s="18" t="s">
        <v>1</v>
      </c>
      <c r="B142" s="2" t="str">
        <f>"V-"&amp;Table3[[#This Row],[Ticket_ID]]</f>
        <v>V-241</v>
      </c>
      <c r="C142" s="24">
        <f>Table3[[#This Row],[Date_Opened]]</f>
        <v>45659</v>
      </c>
      <c r="D142" s="24">
        <f>Table3[[#This Row],[Date_Resolved]]</f>
        <v>45666</v>
      </c>
      <c r="E142" s="25">
        <v>418</v>
      </c>
      <c r="F142" s="9">
        <v>55</v>
      </c>
      <c r="G142" s="9">
        <f>Table6[[#This Row],[Quantity]]*Table6[[#This Row],[Unit Price]]</f>
        <v>22990</v>
      </c>
      <c r="H142" s="23" t="s">
        <v>44</v>
      </c>
      <c r="I142" s="23" t="s">
        <v>67</v>
      </c>
      <c r="J142" s="9" t="str">
        <f>IF(Table6[[#This Row],[Order_Status]]="Delivered","Resolved","Open")</f>
        <v>Open</v>
      </c>
    </row>
    <row r="143" spans="1:10" x14ac:dyDescent="0.2">
      <c r="A143" s="19" t="s">
        <v>21</v>
      </c>
      <c r="B143" s="2" t="str">
        <f>"V-"&amp;Table3[[#This Row],[Ticket_ID]]</f>
        <v>V-242</v>
      </c>
      <c r="C143" s="24">
        <f>Table3[[#This Row],[Date_Opened]]</f>
        <v>45688</v>
      </c>
      <c r="D143" s="24">
        <f>Table3[[#This Row],[Date_Resolved]]</f>
        <v>45695</v>
      </c>
      <c r="E143" s="25">
        <v>170</v>
      </c>
      <c r="F143" s="9">
        <v>37</v>
      </c>
      <c r="G143" s="9">
        <f>Table6[[#This Row],[Quantity]]*Table6[[#This Row],[Unit Price]]</f>
        <v>6290</v>
      </c>
      <c r="H143" s="23" t="s">
        <v>43</v>
      </c>
      <c r="I143" s="23" t="s">
        <v>64</v>
      </c>
      <c r="J143" s="9" t="str">
        <f>IF(Table6[[#This Row],[Order_Status]]="Delivered","Resolved","Open")</f>
        <v>Resolved</v>
      </c>
    </row>
    <row r="144" spans="1:10" x14ac:dyDescent="0.2">
      <c r="A144" s="18" t="s">
        <v>1</v>
      </c>
      <c r="B144" s="2" t="str">
        <f>"V-"&amp;Table3[[#This Row],[Ticket_ID]]</f>
        <v>V-243</v>
      </c>
      <c r="C144" s="24">
        <f>Table3[[#This Row],[Date_Opened]]</f>
        <v>45681</v>
      </c>
      <c r="D144" s="24">
        <f>Table3[[#This Row],[Date_Resolved]]</f>
        <v>45688</v>
      </c>
      <c r="E144" s="25">
        <v>647</v>
      </c>
      <c r="F144" s="9">
        <v>58</v>
      </c>
      <c r="G144" s="9">
        <f>Table6[[#This Row],[Quantity]]*Table6[[#This Row],[Unit Price]]</f>
        <v>37526</v>
      </c>
      <c r="H144" s="23" t="s">
        <v>44</v>
      </c>
      <c r="I144" s="23" t="s">
        <v>64</v>
      </c>
      <c r="J144" s="9" t="str">
        <f>IF(Table6[[#This Row],[Order_Status]]="Delivered","Resolved","Open")</f>
        <v>Resolved</v>
      </c>
    </row>
    <row r="145" spans="1:10" x14ac:dyDescent="0.2">
      <c r="A145" s="19" t="s">
        <v>20</v>
      </c>
      <c r="B145" s="2" t="str">
        <f>"V-"&amp;Table3[[#This Row],[Ticket_ID]]</f>
        <v>V-244</v>
      </c>
      <c r="C145" s="24">
        <f>Table3[[#This Row],[Date_Opened]]</f>
        <v>45688</v>
      </c>
      <c r="D145" s="24">
        <f>Table3[[#This Row],[Date_Resolved]]</f>
        <v>45690</v>
      </c>
      <c r="E145" s="25">
        <v>270</v>
      </c>
      <c r="F145" s="9">
        <v>17</v>
      </c>
      <c r="G145" s="9">
        <f>Table6[[#This Row],[Quantity]]*Table6[[#This Row],[Unit Price]]</f>
        <v>4590</v>
      </c>
      <c r="H145" s="23" t="s">
        <v>40</v>
      </c>
      <c r="I145" s="23" t="s">
        <v>64</v>
      </c>
      <c r="J145" s="9" t="str">
        <f>IF(Table6[[#This Row],[Order_Status]]="Delivered","Resolved","Open")</f>
        <v>Resolved</v>
      </c>
    </row>
    <row r="146" spans="1:10" x14ac:dyDescent="0.2">
      <c r="A146" s="18" t="s">
        <v>4</v>
      </c>
      <c r="B146" s="2" t="str">
        <f>"V-"&amp;Table3[[#This Row],[Ticket_ID]]</f>
        <v>V-245</v>
      </c>
      <c r="C146" s="24">
        <f>Table3[[#This Row],[Date_Opened]]</f>
        <v>45659</v>
      </c>
      <c r="D146" s="24">
        <f>Table3[[#This Row],[Date_Resolved]]</f>
        <v>45660</v>
      </c>
      <c r="E146" s="25">
        <v>137</v>
      </c>
      <c r="F146" s="9">
        <v>28</v>
      </c>
      <c r="G146" s="9">
        <f>Table6[[#This Row],[Quantity]]*Table6[[#This Row],[Unit Price]]</f>
        <v>3836</v>
      </c>
      <c r="H146" s="23" t="s">
        <v>40</v>
      </c>
      <c r="I146" s="23" t="s">
        <v>64</v>
      </c>
      <c r="J146" s="9" t="str">
        <f>IF(Table6[[#This Row],[Order_Status]]="Delivered","Resolved","Open")</f>
        <v>Resolved</v>
      </c>
    </row>
    <row r="147" spans="1:10" x14ac:dyDescent="0.2">
      <c r="A147" s="19" t="s">
        <v>3</v>
      </c>
      <c r="B147" s="2" t="str">
        <f>"V-"&amp;Table3[[#This Row],[Ticket_ID]]</f>
        <v>V-246</v>
      </c>
      <c r="C147" s="24">
        <f>Table3[[#This Row],[Date_Opened]]</f>
        <v>45688</v>
      </c>
      <c r="D147" s="24">
        <f>Table3[[#This Row],[Date_Resolved]]</f>
        <v>45693</v>
      </c>
      <c r="E147" s="25">
        <v>219</v>
      </c>
      <c r="F147" s="9">
        <v>14</v>
      </c>
      <c r="G147" s="9">
        <f>Table6[[#This Row],[Quantity]]*Table6[[#This Row],[Unit Price]]</f>
        <v>3066</v>
      </c>
      <c r="H147" s="23" t="s">
        <v>43</v>
      </c>
      <c r="I147" s="23" t="s">
        <v>64</v>
      </c>
      <c r="J147" s="9" t="str">
        <f>IF(Table6[[#This Row],[Order_Status]]="Delivered","Resolved","Open")</f>
        <v>Resolved</v>
      </c>
    </row>
    <row r="148" spans="1:10" x14ac:dyDescent="0.2">
      <c r="A148" s="18" t="s">
        <v>4</v>
      </c>
      <c r="B148" s="2" t="str">
        <f>"V-"&amp;Table3[[#This Row],[Ticket_ID]]</f>
        <v>V-247</v>
      </c>
      <c r="C148" s="24">
        <f>Table3[[#This Row],[Date_Opened]]</f>
        <v>45682</v>
      </c>
      <c r="D148" s="24">
        <f>Table3[[#This Row],[Date_Resolved]]</f>
        <v>45688</v>
      </c>
      <c r="E148" s="25">
        <v>193</v>
      </c>
      <c r="F148" s="9">
        <v>40</v>
      </c>
      <c r="G148" s="9">
        <f>Table6[[#This Row],[Quantity]]*Table6[[#This Row],[Unit Price]]</f>
        <v>7720</v>
      </c>
      <c r="H148" s="23" t="s">
        <v>43</v>
      </c>
      <c r="I148" s="23" t="s">
        <v>64</v>
      </c>
      <c r="J148" s="9" t="str">
        <f>IF(Table6[[#This Row],[Order_Status]]="Delivered","Resolved","Open")</f>
        <v>Resolved</v>
      </c>
    </row>
    <row r="149" spans="1:10" x14ac:dyDescent="0.2">
      <c r="A149" s="19" t="s">
        <v>2</v>
      </c>
      <c r="B149" s="2" t="str">
        <f>"V-"&amp;Table3[[#This Row],[Ticket_ID]]</f>
        <v>V-248</v>
      </c>
      <c r="C149" s="24">
        <f>Table3[[#This Row],[Date_Opened]]</f>
        <v>45667</v>
      </c>
      <c r="D149" s="24">
        <f>Table3[[#This Row],[Date_Resolved]]</f>
        <v>45674</v>
      </c>
      <c r="E149" s="25">
        <v>212</v>
      </c>
      <c r="F149" s="9">
        <v>11</v>
      </c>
      <c r="G149" s="9">
        <f>Table6[[#This Row],[Quantity]]*Table6[[#This Row],[Unit Price]]</f>
        <v>2332</v>
      </c>
      <c r="H149" s="23" t="s">
        <v>40</v>
      </c>
      <c r="I149" s="23" t="s">
        <v>65</v>
      </c>
      <c r="J149" s="9" t="str">
        <f>IF(Table6[[#This Row],[Order_Status]]="Delivered","Resolved","Open")</f>
        <v>Open</v>
      </c>
    </row>
    <row r="150" spans="1:10" x14ac:dyDescent="0.2">
      <c r="A150" s="18" t="s">
        <v>4</v>
      </c>
      <c r="B150" s="2" t="str">
        <f>"V-"&amp;Table3[[#This Row],[Ticket_ID]]</f>
        <v>V-249</v>
      </c>
      <c r="C150" s="24">
        <f>Table3[[#This Row],[Date_Opened]]</f>
        <v>45684</v>
      </c>
      <c r="D150" s="24">
        <f>Table3[[#This Row],[Date_Resolved]]</f>
        <v>45687</v>
      </c>
      <c r="E150" s="25">
        <v>230</v>
      </c>
      <c r="F150" s="9">
        <v>17</v>
      </c>
      <c r="G150" s="9">
        <f>Table6[[#This Row],[Quantity]]*Table6[[#This Row],[Unit Price]]</f>
        <v>3910</v>
      </c>
      <c r="H150" s="23" t="s">
        <v>41</v>
      </c>
      <c r="I150" s="23" t="s">
        <v>66</v>
      </c>
      <c r="J150" s="9" t="str">
        <f>IF(Table6[[#This Row],[Order_Status]]="Delivered","Resolved","Open")</f>
        <v>Open</v>
      </c>
    </row>
    <row r="151" spans="1:10" x14ac:dyDescent="0.2">
      <c r="A151" s="19" t="s">
        <v>4</v>
      </c>
      <c r="B151" s="2" t="str">
        <f>"V-"&amp;Table3[[#This Row],[Ticket_ID]]</f>
        <v>V-250</v>
      </c>
      <c r="C151" s="24">
        <f>Table3[[#This Row],[Date_Opened]]</f>
        <v>45676</v>
      </c>
      <c r="D151" s="24">
        <f>Table3[[#This Row],[Date_Resolved]]</f>
        <v>45681</v>
      </c>
      <c r="E151" s="25">
        <v>223</v>
      </c>
      <c r="F151" s="9">
        <v>23</v>
      </c>
      <c r="G151" s="9">
        <f>Table6[[#This Row],[Quantity]]*Table6[[#This Row],[Unit Price]]</f>
        <v>5129</v>
      </c>
      <c r="H151" s="23" t="s">
        <v>41</v>
      </c>
      <c r="I151" s="23" t="s">
        <v>64</v>
      </c>
      <c r="J151" s="9" t="str">
        <f>IF(Table6[[#This Row],[Order_Status]]="Delivered","Resolved","Open")</f>
        <v>Resolved</v>
      </c>
    </row>
    <row r="152" spans="1:10" x14ac:dyDescent="0.2">
      <c r="A152" s="18" t="s">
        <v>2</v>
      </c>
      <c r="B152" s="2" t="str">
        <f>"V-"&amp;Table3[[#This Row],[Ticket_ID]]</f>
        <v>V-251</v>
      </c>
      <c r="C152" s="24">
        <f>Table3[[#This Row],[Date_Opened]]</f>
        <v>45685</v>
      </c>
      <c r="D152" s="24">
        <f>Table3[[#This Row],[Date_Resolved]]</f>
        <v>45690</v>
      </c>
      <c r="E152" s="25">
        <v>372</v>
      </c>
      <c r="F152" s="9">
        <v>16</v>
      </c>
      <c r="G152" s="9">
        <f>Table6[[#This Row],[Quantity]]*Table6[[#This Row],[Unit Price]]</f>
        <v>5952</v>
      </c>
      <c r="H152" s="23" t="s">
        <v>44</v>
      </c>
      <c r="I152" s="23" t="s">
        <v>64</v>
      </c>
      <c r="J152" s="9" t="str">
        <f>IF(Table6[[#This Row],[Order_Status]]="Delivered","Resolved","Open")</f>
        <v>Resolved</v>
      </c>
    </row>
    <row r="153" spans="1:10" x14ac:dyDescent="0.2">
      <c r="A153" s="19" t="s">
        <v>4</v>
      </c>
      <c r="B153" s="2" t="str">
        <f>"V-"&amp;Table3[[#This Row],[Ticket_ID]]</f>
        <v>V-252</v>
      </c>
      <c r="C153" s="24">
        <f>Table3[[#This Row],[Date_Opened]]</f>
        <v>45676</v>
      </c>
      <c r="D153" s="24">
        <f>Table3[[#This Row],[Date_Resolved]]</f>
        <v>45676</v>
      </c>
      <c r="E153" s="25">
        <v>245</v>
      </c>
      <c r="F153" s="9">
        <v>24</v>
      </c>
      <c r="G153" s="9">
        <f>Table6[[#This Row],[Quantity]]*Table6[[#This Row],[Unit Price]]</f>
        <v>5880</v>
      </c>
      <c r="H153" s="23" t="s">
        <v>41</v>
      </c>
      <c r="I153" s="23" t="s">
        <v>64</v>
      </c>
      <c r="J153" s="9" t="str">
        <f>IF(Table6[[#This Row],[Order_Status]]="Delivered","Resolved","Open")</f>
        <v>Resolved</v>
      </c>
    </row>
    <row r="154" spans="1:10" x14ac:dyDescent="0.2">
      <c r="A154" s="18" t="s">
        <v>3</v>
      </c>
      <c r="B154" s="2" t="str">
        <f>"V-"&amp;Table3[[#This Row],[Ticket_ID]]</f>
        <v>V-253</v>
      </c>
      <c r="C154" s="24">
        <f>Table3[[#This Row],[Date_Opened]]</f>
        <v>45669</v>
      </c>
      <c r="D154" s="24">
        <f>Table3[[#This Row],[Date_Resolved]]</f>
        <v>45673</v>
      </c>
      <c r="E154" s="25">
        <v>485</v>
      </c>
      <c r="F154" s="9">
        <v>25</v>
      </c>
      <c r="G154" s="9">
        <f>Table6[[#This Row],[Quantity]]*Table6[[#This Row],[Unit Price]]</f>
        <v>12125</v>
      </c>
      <c r="H154" s="23" t="s">
        <v>42</v>
      </c>
      <c r="I154" s="23" t="s">
        <v>64</v>
      </c>
      <c r="J154" s="9" t="str">
        <f>IF(Table6[[#This Row],[Order_Status]]="Delivered","Resolved","Open")</f>
        <v>Resolved</v>
      </c>
    </row>
    <row r="155" spans="1:10" x14ac:dyDescent="0.2">
      <c r="A155" s="19" t="s">
        <v>2</v>
      </c>
      <c r="B155" s="2" t="str">
        <f>"V-"&amp;Table3[[#This Row],[Ticket_ID]]</f>
        <v>V-254</v>
      </c>
      <c r="C155" s="24">
        <f>Table3[[#This Row],[Date_Opened]]</f>
        <v>45683</v>
      </c>
      <c r="D155" s="24">
        <f>Table3[[#This Row],[Date_Resolved]]</f>
        <v>45684</v>
      </c>
      <c r="E155" s="25">
        <v>455</v>
      </c>
      <c r="F155" s="9">
        <v>10</v>
      </c>
      <c r="G155" s="9">
        <f>Table6[[#This Row],[Quantity]]*Table6[[#This Row],[Unit Price]]</f>
        <v>4550</v>
      </c>
      <c r="H155" s="23" t="s">
        <v>42</v>
      </c>
      <c r="I155" s="23" t="s">
        <v>64</v>
      </c>
      <c r="J155" s="9" t="str">
        <f>IF(Table6[[#This Row],[Order_Status]]="Delivered","Resolved","Open")</f>
        <v>Resolved</v>
      </c>
    </row>
    <row r="156" spans="1:10" x14ac:dyDescent="0.2">
      <c r="A156" s="18" t="s">
        <v>4</v>
      </c>
      <c r="B156" s="2" t="str">
        <f>"V-"&amp;Table3[[#This Row],[Ticket_ID]]</f>
        <v>V-255</v>
      </c>
      <c r="C156" s="24">
        <f>Table3[[#This Row],[Date_Opened]]</f>
        <v>45671</v>
      </c>
      <c r="D156" s="24">
        <f>Table3[[#This Row],[Date_Resolved]]</f>
        <v>45676</v>
      </c>
      <c r="E156" s="25">
        <v>251</v>
      </c>
      <c r="F156" s="9">
        <v>18</v>
      </c>
      <c r="G156" s="9">
        <f>Table6[[#This Row],[Quantity]]*Table6[[#This Row],[Unit Price]]</f>
        <v>4518</v>
      </c>
      <c r="H156" s="23" t="s">
        <v>43</v>
      </c>
      <c r="I156" s="23" t="s">
        <v>64</v>
      </c>
      <c r="J156" s="9" t="str">
        <f>IF(Table6[[#This Row],[Order_Status]]="Delivered","Resolved","Open")</f>
        <v>Resolved</v>
      </c>
    </row>
    <row r="157" spans="1:10" x14ac:dyDescent="0.2">
      <c r="A157" s="19" t="s">
        <v>21</v>
      </c>
      <c r="B157" s="2" t="str">
        <f>"V-"&amp;Table3[[#This Row],[Ticket_ID]]</f>
        <v>V-256</v>
      </c>
      <c r="C157" s="24">
        <f>Table3[[#This Row],[Date_Opened]]</f>
        <v>45680</v>
      </c>
      <c r="D157" s="24">
        <f>Table3[[#This Row],[Date_Resolved]]</f>
        <v>45684</v>
      </c>
      <c r="E157" s="25">
        <v>186</v>
      </c>
      <c r="F157" s="9">
        <v>31</v>
      </c>
      <c r="G157" s="9">
        <f>Table6[[#This Row],[Quantity]]*Table6[[#This Row],[Unit Price]]</f>
        <v>5766</v>
      </c>
      <c r="H157" s="23" t="s">
        <v>40</v>
      </c>
      <c r="I157" s="23" t="s">
        <v>64</v>
      </c>
      <c r="J157" s="9" t="str">
        <f>IF(Table6[[#This Row],[Order_Status]]="Delivered","Resolved","Open")</f>
        <v>Resolved</v>
      </c>
    </row>
    <row r="158" spans="1:10" x14ac:dyDescent="0.2">
      <c r="A158" s="18" t="s">
        <v>4</v>
      </c>
      <c r="B158" s="2" t="str">
        <f>"V-"&amp;Table3[[#This Row],[Ticket_ID]]</f>
        <v>V-257</v>
      </c>
      <c r="C158" s="24">
        <f>Table3[[#This Row],[Date_Opened]]</f>
        <v>45663</v>
      </c>
      <c r="D158" s="24">
        <f>Table3[[#This Row],[Date_Resolved]]</f>
        <v>45663</v>
      </c>
      <c r="E158" s="25">
        <v>343</v>
      </c>
      <c r="F158" s="9">
        <v>52</v>
      </c>
      <c r="G158" s="9">
        <f>Table6[[#This Row],[Quantity]]*Table6[[#This Row],[Unit Price]]</f>
        <v>17836</v>
      </c>
      <c r="H158" s="23" t="s">
        <v>44</v>
      </c>
      <c r="I158" s="23" t="s">
        <v>64</v>
      </c>
      <c r="J158" s="9" t="str">
        <f>IF(Table6[[#This Row],[Order_Status]]="Delivered","Resolved","Open")</f>
        <v>Resolved</v>
      </c>
    </row>
    <row r="159" spans="1:10" x14ac:dyDescent="0.2">
      <c r="A159" s="19" t="s">
        <v>4</v>
      </c>
      <c r="B159" s="2" t="str">
        <f>"V-"&amp;Table3[[#This Row],[Ticket_ID]]</f>
        <v>V-258</v>
      </c>
      <c r="C159" s="24">
        <f>Table3[[#This Row],[Date_Opened]]</f>
        <v>45672</v>
      </c>
      <c r="D159" s="24">
        <f>Table3[[#This Row],[Date_Resolved]]</f>
        <v>45672</v>
      </c>
      <c r="E159" s="25">
        <v>355</v>
      </c>
      <c r="F159" s="9">
        <v>21</v>
      </c>
      <c r="G159" s="9">
        <f>Table6[[#This Row],[Quantity]]*Table6[[#This Row],[Unit Price]]</f>
        <v>7455</v>
      </c>
      <c r="H159" s="23" t="s">
        <v>42</v>
      </c>
      <c r="I159" s="23" t="s">
        <v>64</v>
      </c>
      <c r="J159" s="9" t="str">
        <f>IF(Table6[[#This Row],[Order_Status]]="Delivered","Resolved","Open")</f>
        <v>Resolved</v>
      </c>
    </row>
    <row r="160" spans="1:10" x14ac:dyDescent="0.2">
      <c r="A160" s="18" t="s">
        <v>1</v>
      </c>
      <c r="B160" s="2" t="str">
        <f>"V-"&amp;Table3[[#This Row],[Ticket_ID]]</f>
        <v>V-259</v>
      </c>
      <c r="C160" s="24">
        <f>Table3[[#This Row],[Date_Opened]]</f>
        <v>45680</v>
      </c>
      <c r="D160" s="24">
        <f>Table3[[#This Row],[Date_Resolved]]</f>
        <v>45680</v>
      </c>
      <c r="E160" s="25">
        <v>151</v>
      </c>
      <c r="F160" s="9">
        <v>27</v>
      </c>
      <c r="G160" s="9">
        <f>Table6[[#This Row],[Quantity]]*Table6[[#This Row],[Unit Price]]</f>
        <v>4077</v>
      </c>
      <c r="H160" s="23" t="s">
        <v>43</v>
      </c>
      <c r="I160" s="23" t="s">
        <v>64</v>
      </c>
      <c r="J160" s="9" t="str">
        <f>IF(Table6[[#This Row],[Order_Status]]="Delivered","Resolved","Open")</f>
        <v>Resolved</v>
      </c>
    </row>
    <row r="161" spans="1:10" x14ac:dyDescent="0.2">
      <c r="A161" s="19" t="s">
        <v>20</v>
      </c>
      <c r="B161" s="2" t="str">
        <f>"V-"&amp;Table3[[#This Row],[Ticket_ID]]</f>
        <v>V-260</v>
      </c>
      <c r="C161" s="24">
        <f>Table3[[#This Row],[Date_Opened]]</f>
        <v>45675</v>
      </c>
      <c r="D161" s="24">
        <f>Table3[[#This Row],[Date_Resolved]]</f>
        <v>45675</v>
      </c>
      <c r="E161" s="25">
        <v>176</v>
      </c>
      <c r="F161" s="9">
        <v>14</v>
      </c>
      <c r="G161" s="9">
        <f>Table6[[#This Row],[Quantity]]*Table6[[#This Row],[Unit Price]]</f>
        <v>2464</v>
      </c>
      <c r="H161" s="23" t="s">
        <v>43</v>
      </c>
      <c r="I161" s="23" t="s">
        <v>64</v>
      </c>
      <c r="J161" s="9" t="str">
        <f>IF(Table6[[#This Row],[Order_Status]]="Delivered","Resolved","Open")</f>
        <v>Resolved</v>
      </c>
    </row>
    <row r="162" spans="1:10" x14ac:dyDescent="0.2">
      <c r="A162" s="18" t="s">
        <v>23</v>
      </c>
      <c r="B162" s="2" t="str">
        <f>"V-"&amp;Table3[[#This Row],[Ticket_ID]]</f>
        <v>V-261</v>
      </c>
      <c r="C162" s="24">
        <f>Table3[[#This Row],[Date_Opened]]</f>
        <v>45683</v>
      </c>
      <c r="D162" s="24">
        <f>Table3[[#This Row],[Date_Resolved]]</f>
        <v>45689</v>
      </c>
      <c r="E162" s="25">
        <v>320</v>
      </c>
      <c r="F162" s="9">
        <v>27</v>
      </c>
      <c r="G162" s="9">
        <f>Table6[[#This Row],[Quantity]]*Table6[[#This Row],[Unit Price]]</f>
        <v>8640</v>
      </c>
      <c r="H162" s="23" t="s">
        <v>40</v>
      </c>
      <c r="I162" s="23" t="s">
        <v>64</v>
      </c>
      <c r="J162" s="9" t="str">
        <f>IF(Table6[[#This Row],[Order_Status]]="Delivered","Resolved","Open")</f>
        <v>Resolved</v>
      </c>
    </row>
    <row r="163" spans="1:10" x14ac:dyDescent="0.2">
      <c r="A163" s="19" t="s">
        <v>2</v>
      </c>
      <c r="B163" s="2" t="str">
        <f>"V-"&amp;Table3[[#This Row],[Ticket_ID]]</f>
        <v>V-262</v>
      </c>
      <c r="C163" s="24">
        <f>Table3[[#This Row],[Date_Opened]]</f>
        <v>45674</v>
      </c>
      <c r="D163" s="24">
        <f>Table3[[#This Row],[Date_Resolved]]</f>
        <v>45679</v>
      </c>
      <c r="E163" s="25">
        <v>110</v>
      </c>
      <c r="F163" s="9">
        <v>11</v>
      </c>
      <c r="G163" s="9">
        <f>Table6[[#This Row],[Quantity]]*Table6[[#This Row],[Unit Price]]</f>
        <v>1210</v>
      </c>
      <c r="H163" s="23" t="s">
        <v>40</v>
      </c>
      <c r="I163" s="23" t="s">
        <v>64</v>
      </c>
      <c r="J163" s="9" t="str">
        <f>IF(Table6[[#This Row],[Order_Status]]="Delivered","Resolved","Open")</f>
        <v>Resolved</v>
      </c>
    </row>
    <row r="164" spans="1:10" x14ac:dyDescent="0.2">
      <c r="A164" s="18" t="s">
        <v>22</v>
      </c>
      <c r="B164" s="2" t="str">
        <f>"V-"&amp;Table3[[#This Row],[Ticket_ID]]</f>
        <v>V-263</v>
      </c>
      <c r="C164" s="24">
        <f>Table3[[#This Row],[Date_Opened]]</f>
        <v>45673</v>
      </c>
      <c r="D164" s="24">
        <f>Table3[[#This Row],[Date_Resolved]]</f>
        <v>45679</v>
      </c>
      <c r="E164" s="25">
        <v>290</v>
      </c>
      <c r="F164" s="9">
        <v>10</v>
      </c>
      <c r="G164" s="9">
        <f>Table6[[#This Row],[Quantity]]*Table6[[#This Row],[Unit Price]]</f>
        <v>2900</v>
      </c>
      <c r="H164" s="23" t="s">
        <v>40</v>
      </c>
      <c r="I164" s="23" t="s">
        <v>64</v>
      </c>
      <c r="J164" s="9" t="str">
        <f>IF(Table6[[#This Row],[Order_Status]]="Delivered","Resolved","Open")</f>
        <v>Resolved</v>
      </c>
    </row>
    <row r="165" spans="1:10" x14ac:dyDescent="0.2">
      <c r="A165" s="19" t="s">
        <v>20</v>
      </c>
      <c r="B165" s="2" t="str">
        <f>"V-"&amp;Table3[[#This Row],[Ticket_ID]]</f>
        <v>V-264</v>
      </c>
      <c r="C165" s="24">
        <f>Table3[[#This Row],[Date_Opened]]</f>
        <v>45661</v>
      </c>
      <c r="D165" s="24">
        <f>Table3[[#This Row],[Date_Resolved]]</f>
        <v>45666</v>
      </c>
      <c r="E165" s="25">
        <v>220</v>
      </c>
      <c r="F165" s="9">
        <v>21</v>
      </c>
      <c r="G165" s="9">
        <f>Table6[[#This Row],[Quantity]]*Table6[[#This Row],[Unit Price]]</f>
        <v>4620</v>
      </c>
      <c r="H165" s="23" t="s">
        <v>41</v>
      </c>
      <c r="I165" s="23" t="s">
        <v>64</v>
      </c>
      <c r="J165" s="9" t="str">
        <f>IF(Table6[[#This Row],[Order_Status]]="Delivered","Resolved","Open")</f>
        <v>Resolved</v>
      </c>
    </row>
    <row r="166" spans="1:10" x14ac:dyDescent="0.2">
      <c r="A166" s="18" t="s">
        <v>4</v>
      </c>
      <c r="B166" s="2" t="str">
        <f>"V-"&amp;Table3[[#This Row],[Ticket_ID]]</f>
        <v>V-265</v>
      </c>
      <c r="C166" s="24">
        <f>Table3[[#This Row],[Date_Opened]]</f>
        <v>45675</v>
      </c>
      <c r="D166" s="24">
        <f>Table3[[#This Row],[Date_Resolved]]</f>
        <v>45681</v>
      </c>
      <c r="E166" s="25">
        <v>273</v>
      </c>
      <c r="F166" s="9">
        <v>6</v>
      </c>
      <c r="G166" s="9">
        <f>Table6[[#This Row],[Quantity]]*Table6[[#This Row],[Unit Price]]</f>
        <v>1638</v>
      </c>
      <c r="H166" s="23" t="s">
        <v>42</v>
      </c>
      <c r="I166" s="23" t="s">
        <v>64</v>
      </c>
      <c r="J166" s="9" t="str">
        <f>IF(Table6[[#This Row],[Order_Status]]="Delivered","Resolved","Open")</f>
        <v>Resolved</v>
      </c>
    </row>
    <row r="167" spans="1:10" x14ac:dyDescent="0.2">
      <c r="A167" s="19" t="s">
        <v>23</v>
      </c>
      <c r="B167" s="2" t="str">
        <f>"V-"&amp;Table3[[#This Row],[Ticket_ID]]</f>
        <v>V-266</v>
      </c>
      <c r="C167" s="24">
        <f>Table3[[#This Row],[Date_Opened]]</f>
        <v>45688</v>
      </c>
      <c r="D167" s="24">
        <f>Table3[[#This Row],[Date_Resolved]]</f>
        <v>45688</v>
      </c>
      <c r="E167" s="25">
        <v>105</v>
      </c>
      <c r="F167" s="9">
        <v>40</v>
      </c>
      <c r="G167" s="9">
        <f>Table6[[#This Row],[Quantity]]*Table6[[#This Row],[Unit Price]]</f>
        <v>4200</v>
      </c>
      <c r="H167" s="23" t="s">
        <v>40</v>
      </c>
      <c r="I167" s="23" t="s">
        <v>64</v>
      </c>
      <c r="J167" s="9" t="str">
        <f>IF(Table6[[#This Row],[Order_Status]]="Delivered","Resolved","Open")</f>
        <v>Resolved</v>
      </c>
    </row>
    <row r="168" spans="1:10" x14ac:dyDescent="0.2">
      <c r="A168" s="18" t="s">
        <v>22</v>
      </c>
      <c r="B168" s="2" t="str">
        <f>"V-"&amp;Table3[[#This Row],[Ticket_ID]]</f>
        <v>V-267</v>
      </c>
      <c r="C168" s="24">
        <f>Table3[[#This Row],[Date_Opened]]</f>
        <v>45680</v>
      </c>
      <c r="D168" s="24">
        <f>Table3[[#This Row],[Date_Resolved]]</f>
        <v>45680</v>
      </c>
      <c r="E168" s="25">
        <v>191</v>
      </c>
      <c r="F168" s="9">
        <v>20</v>
      </c>
      <c r="G168" s="9">
        <f>Table6[[#This Row],[Quantity]]*Table6[[#This Row],[Unit Price]]</f>
        <v>3820</v>
      </c>
      <c r="H168" s="23" t="s">
        <v>43</v>
      </c>
      <c r="I168" s="23" t="s">
        <v>64</v>
      </c>
      <c r="J168" s="9" t="str">
        <f>IF(Table6[[#This Row],[Order_Status]]="Delivered","Resolved","Open")</f>
        <v>Resolved</v>
      </c>
    </row>
    <row r="169" spans="1:10" x14ac:dyDescent="0.2">
      <c r="A169" s="19" t="s">
        <v>1</v>
      </c>
      <c r="B169" s="2" t="str">
        <f>"V-"&amp;Table3[[#This Row],[Ticket_ID]]</f>
        <v>V-268</v>
      </c>
      <c r="C169" s="24">
        <f>Table3[[#This Row],[Date_Opened]]</f>
        <v>45684</v>
      </c>
      <c r="D169" s="24">
        <f>Table3[[#This Row],[Date_Resolved]]</f>
        <v>45687</v>
      </c>
      <c r="E169" s="25">
        <v>305</v>
      </c>
      <c r="F169" s="9">
        <v>64</v>
      </c>
      <c r="G169" s="9">
        <f>Table6[[#This Row],[Quantity]]*Table6[[#This Row],[Unit Price]]</f>
        <v>19520</v>
      </c>
      <c r="H169" s="23" t="s">
        <v>44</v>
      </c>
      <c r="I169" s="23" t="s">
        <v>64</v>
      </c>
      <c r="J169" s="9" t="str">
        <f>IF(Table6[[#This Row],[Order_Status]]="Delivered","Resolved","Open")</f>
        <v>Resolved</v>
      </c>
    </row>
    <row r="170" spans="1:10" x14ac:dyDescent="0.2">
      <c r="A170" s="18" t="s">
        <v>2</v>
      </c>
      <c r="B170" s="2" t="str">
        <f>"V-"&amp;Table3[[#This Row],[Ticket_ID]]</f>
        <v>V-269</v>
      </c>
      <c r="C170" s="24">
        <f>Table3[[#This Row],[Date_Opened]]</f>
        <v>45665</v>
      </c>
      <c r="D170" s="24">
        <f>Table3[[#This Row],[Date_Resolved]]</f>
        <v>45672</v>
      </c>
      <c r="E170" s="25">
        <v>616</v>
      </c>
      <c r="F170" s="9">
        <v>87</v>
      </c>
      <c r="G170" s="9">
        <f>Table6[[#This Row],[Quantity]]*Table6[[#This Row],[Unit Price]]</f>
        <v>53592</v>
      </c>
      <c r="H170" s="23" t="s">
        <v>44</v>
      </c>
      <c r="I170" s="23" t="s">
        <v>64</v>
      </c>
      <c r="J170" s="9" t="str">
        <f>IF(Table6[[#This Row],[Order_Status]]="Delivered","Resolved","Open")</f>
        <v>Resolved</v>
      </c>
    </row>
    <row r="171" spans="1:10" x14ac:dyDescent="0.2">
      <c r="A171" s="19" t="s">
        <v>2</v>
      </c>
      <c r="B171" s="2" t="str">
        <f>"V-"&amp;Table3[[#This Row],[Ticket_ID]]</f>
        <v>V-270</v>
      </c>
      <c r="C171" s="24">
        <f>Table3[[#This Row],[Date_Opened]]</f>
        <v>45662</v>
      </c>
      <c r="D171" s="24">
        <f>Table3[[#This Row],[Date_Resolved]]</f>
        <v>45664</v>
      </c>
      <c r="E171" s="25">
        <v>488</v>
      </c>
      <c r="F171" s="9">
        <v>7</v>
      </c>
      <c r="G171" s="9">
        <f>Table6[[#This Row],[Quantity]]*Table6[[#This Row],[Unit Price]]</f>
        <v>3416</v>
      </c>
      <c r="H171" s="23" t="s">
        <v>42</v>
      </c>
      <c r="I171" s="23" t="s">
        <v>64</v>
      </c>
      <c r="J171" s="9" t="str">
        <f>IF(Table6[[#This Row],[Order_Status]]="Delivered","Resolved","Open")</f>
        <v>Resolved</v>
      </c>
    </row>
    <row r="172" spans="1:10" x14ac:dyDescent="0.2">
      <c r="A172" s="18" t="s">
        <v>22</v>
      </c>
      <c r="B172" s="2" t="str">
        <f>"V-"&amp;Table3[[#This Row],[Ticket_ID]]</f>
        <v>V-271</v>
      </c>
      <c r="C172" s="24">
        <f>Table3[[#This Row],[Date_Opened]]</f>
        <v>45679</v>
      </c>
      <c r="D172" s="24">
        <f>Table3[[#This Row],[Date_Resolved]]</f>
        <v>45683</v>
      </c>
      <c r="E172" s="25">
        <v>647</v>
      </c>
      <c r="F172" s="9">
        <v>45</v>
      </c>
      <c r="G172" s="9">
        <f>Table6[[#This Row],[Quantity]]*Table6[[#This Row],[Unit Price]]</f>
        <v>29115</v>
      </c>
      <c r="H172" s="23" t="s">
        <v>44</v>
      </c>
      <c r="I172" s="23" t="s">
        <v>64</v>
      </c>
      <c r="J172" s="9" t="str">
        <f>IF(Table6[[#This Row],[Order_Status]]="Delivered","Resolved","Open")</f>
        <v>Resolved</v>
      </c>
    </row>
    <row r="173" spans="1:10" x14ac:dyDescent="0.2">
      <c r="A173" s="19" t="s">
        <v>20</v>
      </c>
      <c r="B173" s="2" t="str">
        <f>"V-"&amp;Table3[[#This Row],[Ticket_ID]]</f>
        <v>V-272</v>
      </c>
      <c r="C173" s="24">
        <f>Table3[[#This Row],[Date_Opened]]</f>
        <v>45668</v>
      </c>
      <c r="D173" s="24">
        <f>Table3[[#This Row],[Date_Resolved]]</f>
        <v>45675</v>
      </c>
      <c r="E173" s="25">
        <v>170</v>
      </c>
      <c r="F173" s="9">
        <v>44</v>
      </c>
      <c r="G173" s="9">
        <f>Table6[[#This Row],[Quantity]]*Table6[[#This Row],[Unit Price]]</f>
        <v>7480</v>
      </c>
      <c r="H173" s="23" t="s">
        <v>40</v>
      </c>
      <c r="I173" s="23" t="s">
        <v>64</v>
      </c>
      <c r="J173" s="9" t="str">
        <f>IF(Table6[[#This Row],[Order_Status]]="Delivered","Resolved","Open")</f>
        <v>Resolved</v>
      </c>
    </row>
    <row r="174" spans="1:10" x14ac:dyDescent="0.2">
      <c r="A174" s="18" t="s">
        <v>20</v>
      </c>
      <c r="B174" s="2" t="str">
        <f>"V-"&amp;Table3[[#This Row],[Ticket_ID]]</f>
        <v>V-273</v>
      </c>
      <c r="C174" s="24">
        <f>Table3[[#This Row],[Date_Opened]]</f>
        <v>45680</v>
      </c>
      <c r="D174" s="24">
        <f>Table3[[#This Row],[Date_Resolved]]</f>
        <v>45684</v>
      </c>
      <c r="E174" s="25">
        <v>196</v>
      </c>
      <c r="F174" s="9">
        <v>41</v>
      </c>
      <c r="G174" s="9">
        <f>Table6[[#This Row],[Quantity]]*Table6[[#This Row],[Unit Price]]</f>
        <v>8036</v>
      </c>
      <c r="H174" s="23" t="s">
        <v>40</v>
      </c>
      <c r="I174" s="23" t="s">
        <v>64</v>
      </c>
      <c r="J174" s="9" t="str">
        <f>IF(Table6[[#This Row],[Order_Status]]="Delivered","Resolved","Open")</f>
        <v>Resolved</v>
      </c>
    </row>
    <row r="175" spans="1:10" x14ac:dyDescent="0.2">
      <c r="A175" s="19" t="s">
        <v>1</v>
      </c>
      <c r="B175" s="2" t="str">
        <f>"V-"&amp;Table3[[#This Row],[Ticket_ID]]</f>
        <v>V-274</v>
      </c>
      <c r="C175" s="24">
        <f>Table3[[#This Row],[Date_Opened]]</f>
        <v>45683</v>
      </c>
      <c r="D175" s="24">
        <f>Table3[[#This Row],[Date_Resolved]]</f>
        <v>45687</v>
      </c>
      <c r="E175" s="25">
        <v>138</v>
      </c>
      <c r="F175" s="9">
        <v>43</v>
      </c>
      <c r="G175" s="9">
        <f>Table6[[#This Row],[Quantity]]*Table6[[#This Row],[Unit Price]]</f>
        <v>5934</v>
      </c>
      <c r="H175" s="23" t="s">
        <v>40</v>
      </c>
      <c r="I175" s="23" t="s">
        <v>64</v>
      </c>
      <c r="J175" s="9" t="str">
        <f>IF(Table6[[#This Row],[Order_Status]]="Delivered","Resolved","Open")</f>
        <v>Resolved</v>
      </c>
    </row>
    <row r="176" spans="1:10" x14ac:dyDescent="0.2">
      <c r="A176" s="18" t="s">
        <v>4</v>
      </c>
      <c r="B176" s="2" t="str">
        <f>"V-"&amp;Table3[[#This Row],[Ticket_ID]]</f>
        <v>V-275</v>
      </c>
      <c r="C176" s="24">
        <f>Table3[[#This Row],[Date_Opened]]</f>
        <v>45688</v>
      </c>
      <c r="D176" s="24">
        <f>Table3[[#This Row],[Date_Resolved]]</f>
        <v>45691</v>
      </c>
      <c r="E176" s="25">
        <v>288</v>
      </c>
      <c r="F176" s="9">
        <v>21</v>
      </c>
      <c r="G176" s="9">
        <f>Table6[[#This Row],[Quantity]]*Table6[[#This Row],[Unit Price]]</f>
        <v>6048</v>
      </c>
      <c r="H176" s="23" t="s">
        <v>42</v>
      </c>
      <c r="I176" s="23" t="s">
        <v>64</v>
      </c>
      <c r="J176" s="9" t="str">
        <f>IF(Table6[[#This Row],[Order_Status]]="Delivered","Resolved","Open")</f>
        <v>Resolved</v>
      </c>
    </row>
    <row r="177" spans="1:10" x14ac:dyDescent="0.2">
      <c r="A177" s="19" t="s">
        <v>21</v>
      </c>
      <c r="B177" s="2" t="str">
        <f>"V-"&amp;Table3[[#This Row],[Ticket_ID]]</f>
        <v>V-276</v>
      </c>
      <c r="C177" s="24">
        <f>Table3[[#This Row],[Date_Opened]]</f>
        <v>45669</v>
      </c>
      <c r="D177" s="24">
        <f>Table3[[#This Row],[Date_Resolved]]</f>
        <v>45674</v>
      </c>
      <c r="E177" s="25">
        <v>225</v>
      </c>
      <c r="F177" s="9">
        <v>35</v>
      </c>
      <c r="G177" s="9">
        <f>Table6[[#This Row],[Quantity]]*Table6[[#This Row],[Unit Price]]</f>
        <v>7875</v>
      </c>
      <c r="H177" s="23" t="s">
        <v>43</v>
      </c>
      <c r="I177" s="23" t="s">
        <v>64</v>
      </c>
      <c r="J177" s="9" t="str">
        <f>IF(Table6[[#This Row],[Order_Status]]="Delivered","Resolved","Open")</f>
        <v>Resolved</v>
      </c>
    </row>
    <row r="178" spans="1:10" x14ac:dyDescent="0.2">
      <c r="A178" s="18" t="s">
        <v>4</v>
      </c>
      <c r="B178" s="2" t="str">
        <f>"V-"&amp;Table3[[#This Row],[Ticket_ID]]</f>
        <v>V-277</v>
      </c>
      <c r="C178" s="24">
        <f>Table3[[#This Row],[Date_Opened]]</f>
        <v>45665</v>
      </c>
      <c r="D178" s="24">
        <f>Table3[[#This Row],[Date_Resolved]]</f>
        <v>45666</v>
      </c>
      <c r="E178" s="25">
        <v>423</v>
      </c>
      <c r="F178" s="9">
        <v>109</v>
      </c>
      <c r="G178" s="9">
        <f>Table6[[#This Row],[Quantity]]*Table6[[#This Row],[Unit Price]]</f>
        <v>46107</v>
      </c>
      <c r="H178" s="23" t="s">
        <v>44</v>
      </c>
      <c r="I178" s="23" t="s">
        <v>64</v>
      </c>
      <c r="J178" s="9" t="str">
        <f>IF(Table6[[#This Row],[Order_Status]]="Delivered","Resolved","Open")</f>
        <v>Resolved</v>
      </c>
    </row>
    <row r="179" spans="1:10" x14ac:dyDescent="0.2">
      <c r="A179" s="19" t="s">
        <v>2</v>
      </c>
      <c r="B179" s="2" t="str">
        <f>"V-"&amp;Table3[[#This Row],[Ticket_ID]]</f>
        <v>V-278</v>
      </c>
      <c r="C179" s="24">
        <f>Table3[[#This Row],[Date_Opened]]</f>
        <v>45660</v>
      </c>
      <c r="D179" s="24">
        <f>Table3[[#This Row],[Date_Resolved]]</f>
        <v>45667</v>
      </c>
      <c r="E179" s="25">
        <v>335</v>
      </c>
      <c r="F179" s="9">
        <v>25</v>
      </c>
      <c r="G179" s="9">
        <f>Table6[[#This Row],[Quantity]]*Table6[[#This Row],[Unit Price]]</f>
        <v>8375</v>
      </c>
      <c r="H179" s="23" t="s">
        <v>40</v>
      </c>
      <c r="I179" s="23" t="s">
        <v>64</v>
      </c>
      <c r="J179" s="9" t="str">
        <f>IF(Table6[[#This Row],[Order_Status]]="Delivered","Resolved","Open")</f>
        <v>Resolved</v>
      </c>
    </row>
    <row r="180" spans="1:10" x14ac:dyDescent="0.2">
      <c r="A180" s="18" t="s">
        <v>3</v>
      </c>
      <c r="B180" s="2" t="str">
        <f>"V-"&amp;Table3[[#This Row],[Ticket_ID]]</f>
        <v>V-279</v>
      </c>
      <c r="C180" s="24">
        <f>Table3[[#This Row],[Date_Opened]]</f>
        <v>45676</v>
      </c>
      <c r="D180" s="24">
        <f>Table3[[#This Row],[Date_Resolved]]</f>
        <v>45680</v>
      </c>
      <c r="E180" s="25">
        <v>382</v>
      </c>
      <c r="F180" s="9">
        <v>10</v>
      </c>
      <c r="G180" s="9">
        <f>Table6[[#This Row],[Quantity]]*Table6[[#This Row],[Unit Price]]</f>
        <v>3820</v>
      </c>
      <c r="H180" s="23" t="s">
        <v>42</v>
      </c>
      <c r="I180" s="23" t="s">
        <v>64</v>
      </c>
      <c r="J180" s="9" t="str">
        <f>IF(Table6[[#This Row],[Order_Status]]="Delivered","Resolved","Open")</f>
        <v>Resolved</v>
      </c>
    </row>
    <row r="181" spans="1:10" x14ac:dyDescent="0.2">
      <c r="A181" s="19" t="s">
        <v>1</v>
      </c>
      <c r="B181" s="2" t="str">
        <f>"V-"&amp;Table3[[#This Row],[Ticket_ID]]</f>
        <v>V-280</v>
      </c>
      <c r="C181" s="24">
        <f>Table3[[#This Row],[Date_Opened]]</f>
        <v>45668</v>
      </c>
      <c r="D181" s="24">
        <f>Table3[[#This Row],[Date_Resolved]]</f>
        <v>45671</v>
      </c>
      <c r="E181" s="25">
        <v>140</v>
      </c>
      <c r="F181" s="9">
        <v>34</v>
      </c>
      <c r="G181" s="9">
        <f>Table6[[#This Row],[Quantity]]*Table6[[#This Row],[Unit Price]]</f>
        <v>4760</v>
      </c>
      <c r="H181" s="23" t="s">
        <v>40</v>
      </c>
      <c r="I181" s="23" t="s">
        <v>64</v>
      </c>
      <c r="J181" s="9" t="str">
        <f>IF(Table6[[#This Row],[Order_Status]]="Delivered","Resolved","Open")</f>
        <v>Resolved</v>
      </c>
    </row>
    <row r="182" spans="1:10" x14ac:dyDescent="0.2">
      <c r="A182" s="18" t="s">
        <v>23</v>
      </c>
      <c r="B182" s="2" t="str">
        <f>"V-"&amp;Table3[[#This Row],[Ticket_ID]]</f>
        <v>V-281</v>
      </c>
      <c r="C182" s="24">
        <f>Table3[[#This Row],[Date_Opened]]</f>
        <v>45669</v>
      </c>
      <c r="D182" s="24">
        <f>Table3[[#This Row],[Date_Resolved]]</f>
        <v>45672</v>
      </c>
      <c r="E182" s="25">
        <v>609</v>
      </c>
      <c r="F182" s="9">
        <v>48</v>
      </c>
      <c r="G182" s="9">
        <f>Table6[[#This Row],[Quantity]]*Table6[[#This Row],[Unit Price]]</f>
        <v>29232</v>
      </c>
      <c r="H182" s="23" t="s">
        <v>44</v>
      </c>
      <c r="I182" s="23" t="s">
        <v>64</v>
      </c>
      <c r="J182" s="9" t="str">
        <f>IF(Table6[[#This Row],[Order_Status]]="Delivered","Resolved","Open")</f>
        <v>Resolved</v>
      </c>
    </row>
    <row r="183" spans="1:10" x14ac:dyDescent="0.2">
      <c r="A183" s="19" t="s">
        <v>1</v>
      </c>
      <c r="B183" s="2" t="str">
        <f>"V-"&amp;Table3[[#This Row],[Ticket_ID]]</f>
        <v>V-282</v>
      </c>
      <c r="C183" s="24">
        <f>Table3[[#This Row],[Date_Opened]]</f>
        <v>45681</v>
      </c>
      <c r="D183" s="24">
        <f>Table3[[#This Row],[Date_Resolved]]</f>
        <v>45684</v>
      </c>
      <c r="E183" s="25">
        <v>123</v>
      </c>
      <c r="F183" s="9">
        <v>17</v>
      </c>
      <c r="G183" s="9">
        <f>Table6[[#This Row],[Quantity]]*Table6[[#This Row],[Unit Price]]</f>
        <v>2091</v>
      </c>
      <c r="H183" s="23" t="s">
        <v>41</v>
      </c>
      <c r="I183" s="23" t="s">
        <v>64</v>
      </c>
      <c r="J183" s="9" t="str">
        <f>IF(Table6[[#This Row],[Order_Status]]="Delivered","Resolved","Open")</f>
        <v>Resolved</v>
      </c>
    </row>
    <row r="184" spans="1:10" x14ac:dyDescent="0.2">
      <c r="A184" s="18" t="s">
        <v>21</v>
      </c>
      <c r="B184" s="2" t="str">
        <f>"V-"&amp;Table3[[#This Row],[Ticket_ID]]</f>
        <v>V-283</v>
      </c>
      <c r="C184" s="24">
        <f>Table3[[#This Row],[Date_Opened]]</f>
        <v>45663</v>
      </c>
      <c r="D184" s="24">
        <f>Table3[[#This Row],[Date_Resolved]]</f>
        <v>45665</v>
      </c>
      <c r="E184" s="25">
        <v>217</v>
      </c>
      <c r="F184" s="9">
        <v>11</v>
      </c>
      <c r="G184" s="9">
        <f>Table6[[#This Row],[Quantity]]*Table6[[#This Row],[Unit Price]]</f>
        <v>2387</v>
      </c>
      <c r="H184" s="23" t="s">
        <v>40</v>
      </c>
      <c r="I184" s="23" t="s">
        <v>64</v>
      </c>
      <c r="J184" s="9" t="str">
        <f>IF(Table6[[#This Row],[Order_Status]]="Delivered","Resolved","Open")</f>
        <v>Resolved</v>
      </c>
    </row>
    <row r="185" spans="1:10" x14ac:dyDescent="0.2">
      <c r="A185" s="19" t="s">
        <v>22</v>
      </c>
      <c r="B185" s="2" t="str">
        <f>"V-"&amp;Table3[[#This Row],[Ticket_ID]]</f>
        <v>V-284</v>
      </c>
      <c r="C185" s="24">
        <f>Table3[[#This Row],[Date_Opened]]</f>
        <v>45659</v>
      </c>
      <c r="D185" s="24">
        <f>Table3[[#This Row],[Date_Resolved]]</f>
        <v>45665</v>
      </c>
      <c r="E185" s="25">
        <v>257</v>
      </c>
      <c r="F185" s="9">
        <v>39</v>
      </c>
      <c r="G185" s="9">
        <f>Table6[[#This Row],[Quantity]]*Table6[[#This Row],[Unit Price]]</f>
        <v>10023</v>
      </c>
      <c r="H185" s="23" t="s">
        <v>40</v>
      </c>
      <c r="I185" s="23" t="s">
        <v>64</v>
      </c>
      <c r="J185" s="9" t="str">
        <f>IF(Table6[[#This Row],[Order_Status]]="Delivered","Resolved","Open")</f>
        <v>Resolved</v>
      </c>
    </row>
    <row r="186" spans="1:10" x14ac:dyDescent="0.2">
      <c r="A186" s="18" t="s">
        <v>3</v>
      </c>
      <c r="B186" s="2" t="str">
        <f>"V-"&amp;Table3[[#This Row],[Ticket_ID]]</f>
        <v>V-285</v>
      </c>
      <c r="C186" s="24">
        <f>Table3[[#This Row],[Date_Opened]]</f>
        <v>45659</v>
      </c>
      <c r="D186" s="24">
        <f>Table3[[#This Row],[Date_Resolved]]</f>
        <v>45662</v>
      </c>
      <c r="E186" s="25">
        <v>254</v>
      </c>
      <c r="F186" s="9">
        <v>28</v>
      </c>
      <c r="G186" s="9">
        <f>Table6[[#This Row],[Quantity]]*Table6[[#This Row],[Unit Price]]</f>
        <v>7112</v>
      </c>
      <c r="H186" s="23" t="s">
        <v>40</v>
      </c>
      <c r="I186" s="23" t="s">
        <v>64</v>
      </c>
      <c r="J186" s="9" t="str">
        <f>IF(Table6[[#This Row],[Order_Status]]="Delivered","Resolved","Open")</f>
        <v>Resolved</v>
      </c>
    </row>
    <row r="187" spans="1:10" x14ac:dyDescent="0.2">
      <c r="A187" s="19" t="s">
        <v>1</v>
      </c>
      <c r="B187" s="2" t="str">
        <f>"V-"&amp;Table3[[#This Row],[Ticket_ID]]</f>
        <v>V-286</v>
      </c>
      <c r="C187" s="24">
        <f>Table3[[#This Row],[Date_Opened]]</f>
        <v>45671</v>
      </c>
      <c r="D187" s="24">
        <f>Table3[[#This Row],[Date_Resolved]]</f>
        <v>45673</v>
      </c>
      <c r="E187" s="25">
        <v>231</v>
      </c>
      <c r="F187" s="9">
        <v>6</v>
      </c>
      <c r="G187" s="9">
        <f>Table6[[#This Row],[Quantity]]*Table6[[#This Row],[Unit Price]]</f>
        <v>1386</v>
      </c>
      <c r="H187" s="23" t="s">
        <v>43</v>
      </c>
      <c r="I187" s="23" t="s">
        <v>67</v>
      </c>
      <c r="J187" s="9" t="str">
        <f>IF(Table6[[#This Row],[Order_Status]]="Delivered","Resolved","Open")</f>
        <v>Open</v>
      </c>
    </row>
    <row r="188" spans="1:10" x14ac:dyDescent="0.2">
      <c r="A188" s="18" t="s">
        <v>21</v>
      </c>
      <c r="B188" s="2" t="str">
        <f>"V-"&amp;Table3[[#This Row],[Ticket_ID]]</f>
        <v>V-287</v>
      </c>
      <c r="C188" s="24">
        <f>Table3[[#This Row],[Date_Opened]]</f>
        <v>45660</v>
      </c>
      <c r="D188" s="24">
        <f>Table3[[#This Row],[Date_Resolved]]</f>
        <v>45664</v>
      </c>
      <c r="E188" s="25">
        <v>469</v>
      </c>
      <c r="F188" s="9">
        <v>17</v>
      </c>
      <c r="G188" s="9">
        <f>Table6[[#This Row],[Quantity]]*Table6[[#This Row],[Unit Price]]</f>
        <v>7973</v>
      </c>
      <c r="H188" s="23" t="s">
        <v>44</v>
      </c>
      <c r="I188" s="23" t="s">
        <v>64</v>
      </c>
      <c r="J188" s="9" t="str">
        <f>IF(Table6[[#This Row],[Order_Status]]="Delivered","Resolved","Open")</f>
        <v>Resolved</v>
      </c>
    </row>
    <row r="189" spans="1:10" x14ac:dyDescent="0.2">
      <c r="A189" s="19" t="s">
        <v>21</v>
      </c>
      <c r="B189" s="2" t="str">
        <f>"V-"&amp;Table3[[#This Row],[Ticket_ID]]</f>
        <v>V-288</v>
      </c>
      <c r="C189" s="24">
        <f>Table3[[#This Row],[Date_Opened]]</f>
        <v>45680</v>
      </c>
      <c r="D189" s="24">
        <f>Table3[[#This Row],[Date_Resolved]]</f>
        <v>45682</v>
      </c>
      <c r="E189" s="25">
        <v>267</v>
      </c>
      <c r="F189" s="9">
        <v>20</v>
      </c>
      <c r="G189" s="9">
        <f>Table6[[#This Row],[Quantity]]*Table6[[#This Row],[Unit Price]]</f>
        <v>5340</v>
      </c>
      <c r="H189" s="23" t="s">
        <v>40</v>
      </c>
      <c r="I189" s="23" t="s">
        <v>64</v>
      </c>
      <c r="J189" s="9" t="str">
        <f>IF(Table6[[#This Row],[Order_Status]]="Delivered","Resolved","Open")</f>
        <v>Resolved</v>
      </c>
    </row>
    <row r="190" spans="1:10" x14ac:dyDescent="0.2">
      <c r="A190" s="18" t="s">
        <v>20</v>
      </c>
      <c r="B190" s="2" t="str">
        <f>"V-"&amp;Table3[[#This Row],[Ticket_ID]]</f>
        <v>V-289</v>
      </c>
      <c r="C190" s="24">
        <f>Table3[[#This Row],[Date_Opened]]</f>
        <v>45683</v>
      </c>
      <c r="D190" s="24">
        <f>Table3[[#This Row],[Date_Resolved]]</f>
        <v>45690</v>
      </c>
      <c r="E190" s="25">
        <v>199</v>
      </c>
      <c r="F190" s="9">
        <v>10</v>
      </c>
      <c r="G190" s="9">
        <f>Table6[[#This Row],[Quantity]]*Table6[[#This Row],[Unit Price]]</f>
        <v>1990</v>
      </c>
      <c r="H190" s="23" t="s">
        <v>40</v>
      </c>
      <c r="I190" s="23" t="s">
        <v>64</v>
      </c>
      <c r="J190" s="9" t="str">
        <f>IF(Table6[[#This Row],[Order_Status]]="Delivered","Resolved","Open")</f>
        <v>Resolved</v>
      </c>
    </row>
    <row r="191" spans="1:10" x14ac:dyDescent="0.2">
      <c r="A191" s="19" t="s">
        <v>4</v>
      </c>
      <c r="B191" s="2" t="str">
        <f>"V-"&amp;Table3[[#This Row],[Ticket_ID]]</f>
        <v>V-290</v>
      </c>
      <c r="C191" s="24">
        <f>Table3[[#This Row],[Date_Opened]]</f>
        <v>45672</v>
      </c>
      <c r="D191" s="24">
        <f>Table3[[#This Row],[Date_Resolved]]</f>
        <v>45674</v>
      </c>
      <c r="E191" s="25">
        <v>240</v>
      </c>
      <c r="F191" s="9">
        <v>13</v>
      </c>
      <c r="G191" s="9">
        <f>Table6[[#This Row],[Quantity]]*Table6[[#This Row],[Unit Price]]</f>
        <v>3120</v>
      </c>
      <c r="H191" s="23" t="s">
        <v>40</v>
      </c>
      <c r="I191" s="23" t="s">
        <v>64</v>
      </c>
      <c r="J191" s="9" t="str">
        <f>IF(Table6[[#This Row],[Order_Status]]="Delivered","Resolved","Open")</f>
        <v>Resolved</v>
      </c>
    </row>
    <row r="192" spans="1:10" x14ac:dyDescent="0.2">
      <c r="A192" s="18" t="s">
        <v>4</v>
      </c>
      <c r="B192" s="2" t="str">
        <f>"V-"&amp;Table3[[#This Row],[Ticket_ID]]</f>
        <v>V-291</v>
      </c>
      <c r="C192" s="24">
        <f>Table3[[#This Row],[Date_Opened]]</f>
        <v>45660</v>
      </c>
      <c r="D192" s="24">
        <f>Table3[[#This Row],[Date_Resolved]]</f>
        <v>45662</v>
      </c>
      <c r="E192" s="25">
        <v>266</v>
      </c>
      <c r="F192" s="9">
        <v>13</v>
      </c>
      <c r="G192" s="9">
        <f>Table6[[#This Row],[Quantity]]*Table6[[#This Row],[Unit Price]]</f>
        <v>3458</v>
      </c>
      <c r="H192" s="23" t="s">
        <v>42</v>
      </c>
      <c r="I192" s="23" t="s">
        <v>64</v>
      </c>
      <c r="J192" s="9" t="str">
        <f>IF(Table6[[#This Row],[Order_Status]]="Delivered","Resolved","Open")</f>
        <v>Resolved</v>
      </c>
    </row>
    <row r="193" spans="1:10" x14ac:dyDescent="0.2">
      <c r="A193" s="19" t="s">
        <v>21</v>
      </c>
      <c r="B193" s="2" t="str">
        <f>"V-"&amp;Table3[[#This Row],[Ticket_ID]]</f>
        <v>V-292</v>
      </c>
      <c r="C193" s="24">
        <f>Table3[[#This Row],[Date_Opened]]</f>
        <v>45665</v>
      </c>
      <c r="D193" s="24">
        <f>Table3[[#This Row],[Date_Resolved]]</f>
        <v>45666</v>
      </c>
      <c r="E193" s="25">
        <v>158</v>
      </c>
      <c r="F193" s="9">
        <v>33</v>
      </c>
      <c r="G193" s="9">
        <f>Table6[[#This Row],[Quantity]]*Table6[[#This Row],[Unit Price]]</f>
        <v>5214</v>
      </c>
      <c r="H193" s="23" t="s">
        <v>41</v>
      </c>
      <c r="I193" s="23" t="s">
        <v>66</v>
      </c>
      <c r="J193" s="9" t="str">
        <f>IF(Table6[[#This Row],[Order_Status]]="Delivered","Resolved","Open")</f>
        <v>Open</v>
      </c>
    </row>
    <row r="194" spans="1:10" x14ac:dyDescent="0.2">
      <c r="A194" s="18" t="s">
        <v>21</v>
      </c>
      <c r="B194" s="2" t="str">
        <f>"V-"&amp;Table3[[#This Row],[Ticket_ID]]</f>
        <v>V-293</v>
      </c>
      <c r="C194" s="24">
        <f>Table3[[#This Row],[Date_Opened]]</f>
        <v>45672</v>
      </c>
      <c r="D194" s="24">
        <f>Table3[[#This Row],[Date_Resolved]]</f>
        <v>45678</v>
      </c>
      <c r="E194" s="25">
        <v>254</v>
      </c>
      <c r="F194" s="9">
        <v>16</v>
      </c>
      <c r="G194" s="9">
        <f>Table6[[#This Row],[Quantity]]*Table6[[#This Row],[Unit Price]]</f>
        <v>4064</v>
      </c>
      <c r="H194" s="23" t="s">
        <v>41</v>
      </c>
      <c r="I194" s="23" t="s">
        <v>64</v>
      </c>
      <c r="J194" s="9" t="str">
        <f>IF(Table6[[#This Row],[Order_Status]]="Delivered","Resolved","Open")</f>
        <v>Resolved</v>
      </c>
    </row>
    <row r="195" spans="1:10" x14ac:dyDescent="0.2">
      <c r="A195" s="19" t="s">
        <v>1</v>
      </c>
      <c r="B195" s="2" t="str">
        <f>"V-"&amp;Table3[[#This Row],[Ticket_ID]]</f>
        <v>V-294</v>
      </c>
      <c r="C195" s="24">
        <f>Table3[[#This Row],[Date_Opened]]</f>
        <v>45669</v>
      </c>
      <c r="D195" s="24">
        <f>Table3[[#This Row],[Date_Resolved]]</f>
        <v>45673</v>
      </c>
      <c r="E195" s="25">
        <v>206</v>
      </c>
      <c r="F195" s="9">
        <v>27</v>
      </c>
      <c r="G195" s="9">
        <f>Table6[[#This Row],[Quantity]]*Table6[[#This Row],[Unit Price]]</f>
        <v>5562</v>
      </c>
      <c r="H195" s="23" t="s">
        <v>43</v>
      </c>
      <c r="I195" s="23" t="s">
        <v>64</v>
      </c>
      <c r="J195" s="9" t="str">
        <f>IF(Table6[[#This Row],[Order_Status]]="Delivered","Resolved","Open")</f>
        <v>Resolved</v>
      </c>
    </row>
    <row r="196" spans="1:10" x14ac:dyDescent="0.2">
      <c r="A196" s="18" t="s">
        <v>4</v>
      </c>
      <c r="B196" s="2" t="str">
        <f>"V-"&amp;Table3[[#This Row],[Ticket_ID]]</f>
        <v>V-295</v>
      </c>
      <c r="C196" s="24">
        <f>Table3[[#This Row],[Date_Opened]]</f>
        <v>45676</v>
      </c>
      <c r="D196" s="24">
        <f>Table3[[#This Row],[Date_Resolved]]</f>
        <v>45678</v>
      </c>
      <c r="E196" s="25">
        <v>632</v>
      </c>
      <c r="F196" s="9">
        <v>35</v>
      </c>
      <c r="G196" s="9">
        <f>Table6[[#This Row],[Quantity]]*Table6[[#This Row],[Unit Price]]</f>
        <v>22120</v>
      </c>
      <c r="H196" s="23" t="s">
        <v>44</v>
      </c>
      <c r="I196" s="23" t="s">
        <v>64</v>
      </c>
      <c r="J196" s="9" t="str">
        <f>IF(Table6[[#This Row],[Order_Status]]="Delivered","Resolved","Open")</f>
        <v>Resolved</v>
      </c>
    </row>
    <row r="197" spans="1:10" x14ac:dyDescent="0.2">
      <c r="A197" s="19" t="s">
        <v>22</v>
      </c>
      <c r="B197" s="2" t="str">
        <f>"V-"&amp;Table3[[#This Row],[Ticket_ID]]</f>
        <v>V-296</v>
      </c>
      <c r="C197" s="24">
        <f>Table3[[#This Row],[Date_Opened]]</f>
        <v>45673</v>
      </c>
      <c r="D197" s="24">
        <f>Table3[[#This Row],[Date_Resolved]]</f>
        <v>45680</v>
      </c>
      <c r="E197" s="25">
        <v>416</v>
      </c>
      <c r="F197" s="9">
        <v>99</v>
      </c>
      <c r="G197" s="9">
        <f>Table6[[#This Row],[Quantity]]*Table6[[#This Row],[Unit Price]]</f>
        <v>41184</v>
      </c>
      <c r="H197" s="23" t="s">
        <v>44</v>
      </c>
      <c r="I197" s="23" t="s">
        <v>64</v>
      </c>
      <c r="J197" s="9" t="str">
        <f>IF(Table6[[#This Row],[Order_Status]]="Delivered","Resolved","Open")</f>
        <v>Resolved</v>
      </c>
    </row>
    <row r="198" spans="1:10" x14ac:dyDescent="0.2">
      <c r="A198" s="18" t="s">
        <v>2</v>
      </c>
      <c r="B198" s="2" t="str">
        <f>"V-"&amp;Table3[[#This Row],[Ticket_ID]]</f>
        <v>V-297</v>
      </c>
      <c r="C198" s="24">
        <f>Table3[[#This Row],[Date_Opened]]</f>
        <v>45684</v>
      </c>
      <c r="D198" s="24">
        <f>Table3[[#This Row],[Date_Resolved]]</f>
        <v>45689</v>
      </c>
      <c r="E198" s="25">
        <v>516</v>
      </c>
      <c r="F198" s="9">
        <v>100</v>
      </c>
      <c r="G198" s="9">
        <f>Table6[[#This Row],[Quantity]]*Table6[[#This Row],[Unit Price]]</f>
        <v>51600</v>
      </c>
      <c r="H198" s="23" t="s">
        <v>44</v>
      </c>
      <c r="I198" s="23" t="s">
        <v>64</v>
      </c>
      <c r="J198" s="9" t="str">
        <f>IF(Table6[[#This Row],[Order_Status]]="Delivered","Resolved","Open")</f>
        <v>Resolved</v>
      </c>
    </row>
    <row r="199" spans="1:10" x14ac:dyDescent="0.2">
      <c r="A199" s="19" t="s">
        <v>4</v>
      </c>
      <c r="B199" s="2" t="str">
        <f>"V-"&amp;Table3[[#This Row],[Ticket_ID]]</f>
        <v>V-298</v>
      </c>
      <c r="C199" s="24">
        <f>Table3[[#This Row],[Date_Opened]]</f>
        <v>45681</v>
      </c>
      <c r="D199" s="24">
        <f>Table3[[#This Row],[Date_Resolved]]</f>
        <v>45686</v>
      </c>
      <c r="E199" s="25">
        <v>154</v>
      </c>
      <c r="F199" s="9">
        <v>6</v>
      </c>
      <c r="G199" s="9">
        <f>Table6[[#This Row],[Quantity]]*Table6[[#This Row],[Unit Price]]</f>
        <v>924</v>
      </c>
      <c r="H199" s="23" t="s">
        <v>41</v>
      </c>
      <c r="I199" s="23" t="s">
        <v>64</v>
      </c>
      <c r="J199" s="9" t="str">
        <f>IF(Table6[[#This Row],[Order_Status]]="Delivered","Resolved","Open")</f>
        <v>Resolved</v>
      </c>
    </row>
    <row r="200" spans="1:10" x14ac:dyDescent="0.2">
      <c r="A200" s="18" t="s">
        <v>20</v>
      </c>
      <c r="B200" s="2" t="str">
        <f>"V-"&amp;Table3[[#This Row],[Ticket_ID]]</f>
        <v>V-299</v>
      </c>
      <c r="C200" s="24">
        <f>Table3[[#This Row],[Date_Opened]]</f>
        <v>45674</v>
      </c>
      <c r="D200" s="24">
        <f>Table3[[#This Row],[Date_Resolved]]</f>
        <v>45680</v>
      </c>
      <c r="E200" s="25">
        <v>584</v>
      </c>
      <c r="F200" s="9">
        <v>73</v>
      </c>
      <c r="G200" s="9">
        <f>Table6[[#This Row],[Quantity]]*Table6[[#This Row],[Unit Price]]</f>
        <v>42632</v>
      </c>
      <c r="H200" s="23" t="s">
        <v>44</v>
      </c>
      <c r="I200" s="23" t="s">
        <v>64</v>
      </c>
      <c r="J200" s="9" t="str">
        <f>IF(Table6[[#This Row],[Order_Status]]="Delivered","Resolved","Open")</f>
        <v>Resolved</v>
      </c>
    </row>
    <row r="201" spans="1:10" x14ac:dyDescent="0.2">
      <c r="A201" s="19" t="s">
        <v>4</v>
      </c>
      <c r="B201" s="2" t="str">
        <f>"V-"&amp;Table3[[#This Row],[Ticket_ID]]</f>
        <v>V-300</v>
      </c>
      <c r="C201" s="24">
        <f>Table3[[#This Row],[Date_Opened]]</f>
        <v>45675</v>
      </c>
      <c r="D201" s="24">
        <f>Table3[[#This Row],[Date_Resolved]]</f>
        <v>45676</v>
      </c>
      <c r="E201" s="25">
        <v>370</v>
      </c>
      <c r="F201" s="9">
        <v>65</v>
      </c>
      <c r="G201" s="9">
        <f>Table6[[#This Row],[Quantity]]*Table6[[#This Row],[Unit Price]]</f>
        <v>24050</v>
      </c>
      <c r="H201" s="23" t="s">
        <v>44</v>
      </c>
      <c r="I201" s="23" t="s">
        <v>67</v>
      </c>
      <c r="J201" s="9" t="str">
        <f>IF(Table6[[#This Row],[Order_Status]]="Delivered","Resolved","Open")</f>
        <v>Open</v>
      </c>
    </row>
    <row r="202" spans="1:10" x14ac:dyDescent="0.2">
      <c r="A202" s="18" t="s">
        <v>20</v>
      </c>
      <c r="B202" s="2" t="str">
        <f>"V-"&amp;Table3[[#This Row],[Ticket_ID]]</f>
        <v>V-301</v>
      </c>
      <c r="C202" s="24">
        <f>Table3[[#This Row],[Date_Opened]]</f>
        <v>45681</v>
      </c>
      <c r="D202" s="24">
        <f>Table3[[#This Row],[Date_Resolved]]</f>
        <v>45687</v>
      </c>
      <c r="E202" s="25">
        <v>300</v>
      </c>
      <c r="F202" s="9">
        <v>25</v>
      </c>
      <c r="G202" s="9">
        <f>Table6[[#This Row],[Quantity]]*Table6[[#This Row],[Unit Price]]</f>
        <v>7500</v>
      </c>
      <c r="H202" s="23" t="s">
        <v>43</v>
      </c>
      <c r="I202" s="23" t="s">
        <v>64</v>
      </c>
      <c r="J202" s="9" t="str">
        <f>IF(Table6[[#This Row],[Order_Status]]="Delivered","Resolved","Open")</f>
        <v>Resolved</v>
      </c>
    </row>
    <row r="203" spans="1:10" x14ac:dyDescent="0.2">
      <c r="A203" s="19" t="s">
        <v>3</v>
      </c>
      <c r="B203" s="2" t="str">
        <f>"V-"&amp;Table3[[#This Row],[Ticket_ID]]</f>
        <v>V-302</v>
      </c>
      <c r="C203" s="24">
        <f>Table3[[#This Row],[Date_Opened]]</f>
        <v>45670</v>
      </c>
      <c r="D203" s="24">
        <f>Table3[[#This Row],[Date_Resolved]]</f>
        <v>45676</v>
      </c>
      <c r="E203" s="25">
        <v>390</v>
      </c>
      <c r="F203" s="9">
        <v>6</v>
      </c>
      <c r="G203" s="9">
        <f>Table6[[#This Row],[Quantity]]*Table6[[#This Row],[Unit Price]]</f>
        <v>2340</v>
      </c>
      <c r="H203" s="23" t="s">
        <v>42</v>
      </c>
      <c r="I203" s="23" t="s">
        <v>64</v>
      </c>
      <c r="J203" s="9" t="str">
        <f>IF(Table6[[#This Row],[Order_Status]]="Delivered","Resolved","Open")</f>
        <v>Resolved</v>
      </c>
    </row>
    <row r="204" spans="1:10" x14ac:dyDescent="0.2">
      <c r="A204" s="18" t="s">
        <v>20</v>
      </c>
      <c r="B204" s="2" t="str">
        <f>"V-"&amp;Table3[[#This Row],[Ticket_ID]]</f>
        <v>V-303</v>
      </c>
      <c r="C204" s="24">
        <f>Table3[[#This Row],[Date_Opened]]</f>
        <v>45677</v>
      </c>
      <c r="D204" s="24">
        <f>Table3[[#This Row],[Date_Resolved]]</f>
        <v>45684</v>
      </c>
      <c r="E204" s="25">
        <v>156</v>
      </c>
      <c r="F204" s="9">
        <v>30</v>
      </c>
      <c r="G204" s="9">
        <f>Table6[[#This Row],[Quantity]]*Table6[[#This Row],[Unit Price]]</f>
        <v>4680</v>
      </c>
      <c r="H204" s="23" t="s">
        <v>43</v>
      </c>
      <c r="I204" s="23" t="s">
        <v>64</v>
      </c>
      <c r="J204" s="9" t="str">
        <f>IF(Table6[[#This Row],[Order_Status]]="Delivered","Resolved","Open")</f>
        <v>Resolved</v>
      </c>
    </row>
    <row r="205" spans="1:10" x14ac:dyDescent="0.2">
      <c r="A205" s="19" t="s">
        <v>21</v>
      </c>
      <c r="B205" s="2" t="str">
        <f>"V-"&amp;Table3[[#This Row],[Ticket_ID]]</f>
        <v>V-304</v>
      </c>
      <c r="C205" s="24">
        <f>Table3[[#This Row],[Date_Opened]]</f>
        <v>45661</v>
      </c>
      <c r="D205" s="24">
        <f>Table3[[#This Row],[Date_Resolved]]</f>
        <v>45667</v>
      </c>
      <c r="E205" s="25">
        <v>340</v>
      </c>
      <c r="F205" s="9">
        <v>24</v>
      </c>
      <c r="G205" s="9">
        <f>Table6[[#This Row],[Quantity]]*Table6[[#This Row],[Unit Price]]</f>
        <v>8160</v>
      </c>
      <c r="H205" s="23" t="s">
        <v>43</v>
      </c>
      <c r="I205" s="23" t="s">
        <v>66</v>
      </c>
      <c r="J205" s="9" t="str">
        <f>IF(Table6[[#This Row],[Order_Status]]="Delivered","Resolved","Open")</f>
        <v>Open</v>
      </c>
    </row>
    <row r="206" spans="1:10" x14ac:dyDescent="0.2">
      <c r="A206" s="18" t="s">
        <v>4</v>
      </c>
      <c r="B206" s="2" t="str">
        <f>"V-"&amp;Table3[[#This Row],[Ticket_ID]]</f>
        <v>V-305</v>
      </c>
      <c r="C206" s="24">
        <f>Table3[[#This Row],[Date_Opened]]</f>
        <v>45671</v>
      </c>
      <c r="D206" s="24">
        <f>Table3[[#This Row],[Date_Resolved]]</f>
        <v>45673</v>
      </c>
      <c r="E206" s="25">
        <v>567</v>
      </c>
      <c r="F206" s="9">
        <v>46</v>
      </c>
      <c r="G206" s="9">
        <f>Table6[[#This Row],[Quantity]]*Table6[[#This Row],[Unit Price]]</f>
        <v>26082</v>
      </c>
      <c r="H206" s="23" t="s">
        <v>44</v>
      </c>
      <c r="I206" s="23" t="s">
        <v>64</v>
      </c>
      <c r="J206" s="9" t="str">
        <f>IF(Table6[[#This Row],[Order_Status]]="Delivered","Resolved","Open")</f>
        <v>Resolved</v>
      </c>
    </row>
    <row r="207" spans="1:10" x14ac:dyDescent="0.2">
      <c r="A207" s="19" t="s">
        <v>22</v>
      </c>
      <c r="B207" s="2" t="str">
        <f>"V-"&amp;Table3[[#This Row],[Ticket_ID]]</f>
        <v>V-306</v>
      </c>
      <c r="C207" s="24">
        <f>Table3[[#This Row],[Date_Opened]]</f>
        <v>45675</v>
      </c>
      <c r="D207" s="24">
        <f>Table3[[#This Row],[Date_Resolved]]</f>
        <v>45682</v>
      </c>
      <c r="E207" s="25">
        <v>390</v>
      </c>
      <c r="F207" s="9">
        <v>10</v>
      </c>
      <c r="G207" s="9">
        <f>Table6[[#This Row],[Quantity]]*Table6[[#This Row],[Unit Price]]</f>
        <v>3900</v>
      </c>
      <c r="H207" s="23" t="s">
        <v>42</v>
      </c>
      <c r="I207" s="23" t="s">
        <v>64</v>
      </c>
      <c r="J207" s="9" t="str">
        <f>IF(Table6[[#This Row],[Order_Status]]="Delivered","Resolved","Open")</f>
        <v>Resolved</v>
      </c>
    </row>
    <row r="208" spans="1:10" x14ac:dyDescent="0.2">
      <c r="A208" s="18" t="s">
        <v>23</v>
      </c>
      <c r="B208" s="2" t="str">
        <f>"V-"&amp;Table3[[#This Row],[Ticket_ID]]</f>
        <v>V-307</v>
      </c>
      <c r="C208" s="24">
        <f>Table3[[#This Row],[Date_Opened]]</f>
        <v>45685</v>
      </c>
      <c r="D208" s="24">
        <f>Table3[[#This Row],[Date_Resolved]]</f>
        <v>45685</v>
      </c>
      <c r="E208" s="25">
        <v>334</v>
      </c>
      <c r="F208" s="9">
        <v>55</v>
      </c>
      <c r="G208" s="9">
        <f>Table6[[#This Row],[Quantity]]*Table6[[#This Row],[Unit Price]]</f>
        <v>18370</v>
      </c>
      <c r="H208" s="23" t="s">
        <v>44</v>
      </c>
      <c r="I208" s="23" t="s">
        <v>64</v>
      </c>
      <c r="J208" s="9" t="str">
        <f>IF(Table6[[#This Row],[Order_Status]]="Delivered","Resolved","Open")</f>
        <v>Resolved</v>
      </c>
    </row>
    <row r="209" spans="1:10" x14ac:dyDescent="0.2">
      <c r="A209" s="19" t="s">
        <v>22</v>
      </c>
      <c r="B209" s="2" t="str">
        <f>"V-"&amp;Table3[[#This Row],[Ticket_ID]]</f>
        <v>V-308</v>
      </c>
      <c r="C209" s="24">
        <f>Table3[[#This Row],[Date_Opened]]</f>
        <v>45680</v>
      </c>
      <c r="D209" s="24">
        <f>Table3[[#This Row],[Date_Resolved]]</f>
        <v>45687</v>
      </c>
      <c r="E209" s="25">
        <v>341</v>
      </c>
      <c r="F209" s="9">
        <v>22</v>
      </c>
      <c r="G209" s="9">
        <f>Table6[[#This Row],[Quantity]]*Table6[[#This Row],[Unit Price]]</f>
        <v>7502</v>
      </c>
      <c r="H209" s="23" t="s">
        <v>44</v>
      </c>
      <c r="I209" s="23" t="s">
        <v>64</v>
      </c>
      <c r="J209" s="9" t="str">
        <f>IF(Table6[[#This Row],[Order_Status]]="Delivered","Resolved","Open")</f>
        <v>Resolved</v>
      </c>
    </row>
    <row r="210" spans="1:10" x14ac:dyDescent="0.2">
      <c r="A210" s="18" t="s">
        <v>20</v>
      </c>
      <c r="B210" s="2" t="str">
        <f>"V-"&amp;Table3[[#This Row],[Ticket_ID]]</f>
        <v>V-309</v>
      </c>
      <c r="C210" s="24">
        <f>Table3[[#This Row],[Date_Opened]]</f>
        <v>45668</v>
      </c>
      <c r="D210" s="24">
        <f>Table3[[#This Row],[Date_Resolved]]</f>
        <v>45673</v>
      </c>
      <c r="E210" s="25">
        <v>349</v>
      </c>
      <c r="F210" s="9">
        <v>13</v>
      </c>
      <c r="G210" s="9">
        <f>Table6[[#This Row],[Quantity]]*Table6[[#This Row],[Unit Price]]</f>
        <v>4537</v>
      </c>
      <c r="H210" s="23" t="s">
        <v>40</v>
      </c>
      <c r="I210" s="23" t="s">
        <v>64</v>
      </c>
      <c r="J210" s="9" t="str">
        <f>IF(Table6[[#This Row],[Order_Status]]="Delivered","Resolved","Open")</f>
        <v>Resolved</v>
      </c>
    </row>
    <row r="211" spans="1:10" x14ac:dyDescent="0.2">
      <c r="A211" s="19" t="s">
        <v>4</v>
      </c>
      <c r="B211" s="2" t="str">
        <f>"V-"&amp;Table3[[#This Row],[Ticket_ID]]</f>
        <v>V-310</v>
      </c>
      <c r="C211" s="24">
        <f>Table3[[#This Row],[Date_Opened]]</f>
        <v>45671</v>
      </c>
      <c r="D211" s="24">
        <f>Table3[[#This Row],[Date_Resolved]]</f>
        <v>45677</v>
      </c>
      <c r="E211" s="25">
        <v>241</v>
      </c>
      <c r="F211" s="9">
        <v>8</v>
      </c>
      <c r="G211" s="9">
        <f>Table6[[#This Row],[Quantity]]*Table6[[#This Row],[Unit Price]]</f>
        <v>1928</v>
      </c>
      <c r="H211" s="23" t="s">
        <v>41</v>
      </c>
      <c r="I211" s="23" t="s">
        <v>64</v>
      </c>
      <c r="J211" s="9" t="str">
        <f>IF(Table6[[#This Row],[Order_Status]]="Delivered","Resolved","Open")</f>
        <v>Resolved</v>
      </c>
    </row>
    <row r="212" spans="1:10" x14ac:dyDescent="0.2">
      <c r="A212" s="18" t="s">
        <v>23</v>
      </c>
      <c r="B212" s="2" t="str">
        <f>"V-"&amp;Table3[[#This Row],[Ticket_ID]]</f>
        <v>V-311</v>
      </c>
      <c r="C212" s="24">
        <f>Table3[[#This Row],[Date_Opened]]</f>
        <v>45664</v>
      </c>
      <c r="D212" s="24">
        <f>Table3[[#This Row],[Date_Resolved]]</f>
        <v>45670</v>
      </c>
      <c r="E212" s="25">
        <v>159</v>
      </c>
      <c r="F212" s="9">
        <v>31</v>
      </c>
      <c r="G212" s="9">
        <f>Table6[[#This Row],[Quantity]]*Table6[[#This Row],[Unit Price]]</f>
        <v>4929</v>
      </c>
      <c r="H212" s="23" t="s">
        <v>41</v>
      </c>
      <c r="I212" s="23" t="s">
        <v>64</v>
      </c>
      <c r="J212" s="9" t="str">
        <f>IF(Table6[[#This Row],[Order_Status]]="Delivered","Resolved","Open")</f>
        <v>Resolved</v>
      </c>
    </row>
    <row r="213" spans="1:10" x14ac:dyDescent="0.2">
      <c r="A213" s="19" t="s">
        <v>4</v>
      </c>
      <c r="B213" s="2" t="str">
        <f>"V-"&amp;Table3[[#This Row],[Ticket_ID]]</f>
        <v>V-312</v>
      </c>
      <c r="C213" s="24">
        <f>Table3[[#This Row],[Date_Opened]]</f>
        <v>45682</v>
      </c>
      <c r="D213" s="24">
        <f>Table3[[#This Row],[Date_Resolved]]</f>
        <v>45684</v>
      </c>
      <c r="E213" s="25">
        <v>114</v>
      </c>
      <c r="F213" s="9">
        <v>34</v>
      </c>
      <c r="G213" s="9">
        <f>Table6[[#This Row],[Quantity]]*Table6[[#This Row],[Unit Price]]</f>
        <v>3876</v>
      </c>
      <c r="H213" s="23" t="s">
        <v>40</v>
      </c>
      <c r="I213" s="23" t="s">
        <v>64</v>
      </c>
      <c r="J213" s="9" t="str">
        <f>IF(Table6[[#This Row],[Order_Status]]="Delivered","Resolved","Open")</f>
        <v>Resolved</v>
      </c>
    </row>
    <row r="214" spans="1:10" x14ac:dyDescent="0.2">
      <c r="A214" s="18" t="s">
        <v>20</v>
      </c>
      <c r="B214" s="2" t="str">
        <f>"V-"&amp;Table3[[#This Row],[Ticket_ID]]</f>
        <v>V-313</v>
      </c>
      <c r="C214" s="24">
        <f>Table3[[#This Row],[Date_Opened]]</f>
        <v>45686</v>
      </c>
      <c r="D214" s="24">
        <f>Table3[[#This Row],[Date_Resolved]]</f>
        <v>45690</v>
      </c>
      <c r="E214" s="25">
        <v>421</v>
      </c>
      <c r="F214" s="9">
        <v>116</v>
      </c>
      <c r="G214" s="9">
        <f>Table6[[#This Row],[Quantity]]*Table6[[#This Row],[Unit Price]]</f>
        <v>48836</v>
      </c>
      <c r="H214" s="23" t="s">
        <v>44</v>
      </c>
      <c r="I214" s="23" t="s">
        <v>64</v>
      </c>
      <c r="J214" s="9" t="str">
        <f>IF(Table6[[#This Row],[Order_Status]]="Delivered","Resolved","Open")</f>
        <v>Resolved</v>
      </c>
    </row>
    <row r="215" spans="1:10" x14ac:dyDescent="0.2">
      <c r="A215" s="19" t="s">
        <v>21</v>
      </c>
      <c r="B215" s="2" t="str">
        <f>"V-"&amp;Table3[[#This Row],[Ticket_ID]]</f>
        <v>V-314</v>
      </c>
      <c r="C215" s="24">
        <f>Table3[[#This Row],[Date_Opened]]</f>
        <v>45669</v>
      </c>
      <c r="D215" s="24">
        <f>Table3[[#This Row],[Date_Resolved]]</f>
        <v>45669</v>
      </c>
      <c r="E215" s="25">
        <v>401</v>
      </c>
      <c r="F215" s="9">
        <v>19</v>
      </c>
      <c r="G215" s="9">
        <f>Table6[[#This Row],[Quantity]]*Table6[[#This Row],[Unit Price]]</f>
        <v>7619</v>
      </c>
      <c r="H215" s="23" t="s">
        <v>44</v>
      </c>
      <c r="I215" s="23" t="s">
        <v>64</v>
      </c>
      <c r="J215" s="9" t="str">
        <f>IF(Table6[[#This Row],[Order_Status]]="Delivered","Resolved","Open")</f>
        <v>Resolved</v>
      </c>
    </row>
    <row r="216" spans="1:10" x14ac:dyDescent="0.2">
      <c r="A216" s="18" t="s">
        <v>1</v>
      </c>
      <c r="B216" s="2" t="str">
        <f>"V-"&amp;Table3[[#This Row],[Ticket_ID]]</f>
        <v>V-315</v>
      </c>
      <c r="C216" s="24">
        <f>Table3[[#This Row],[Date_Opened]]</f>
        <v>45677</v>
      </c>
      <c r="D216" s="24">
        <f>Table3[[#This Row],[Date_Resolved]]</f>
        <v>45684</v>
      </c>
      <c r="E216" s="25">
        <v>335</v>
      </c>
      <c r="F216" s="9">
        <v>32</v>
      </c>
      <c r="G216" s="9">
        <f>Table6[[#This Row],[Quantity]]*Table6[[#This Row],[Unit Price]]</f>
        <v>10720</v>
      </c>
      <c r="H216" s="23" t="s">
        <v>40</v>
      </c>
      <c r="I216" s="23" t="s">
        <v>64</v>
      </c>
      <c r="J216" s="9" t="str">
        <f>IF(Table6[[#This Row],[Order_Status]]="Delivered","Resolved","Open")</f>
        <v>Resolved</v>
      </c>
    </row>
    <row r="217" spans="1:10" x14ac:dyDescent="0.2">
      <c r="A217" s="19" t="s">
        <v>21</v>
      </c>
      <c r="B217" s="2" t="str">
        <f>"V-"&amp;Table3[[#This Row],[Ticket_ID]]</f>
        <v>V-316</v>
      </c>
      <c r="C217" s="24">
        <f>Table3[[#This Row],[Date_Opened]]</f>
        <v>45662</v>
      </c>
      <c r="D217" s="24">
        <f>Table3[[#This Row],[Date_Resolved]]</f>
        <v>45666</v>
      </c>
      <c r="E217" s="25">
        <v>102</v>
      </c>
      <c r="F217" s="9">
        <v>14</v>
      </c>
      <c r="G217" s="9">
        <f>Table6[[#This Row],[Quantity]]*Table6[[#This Row],[Unit Price]]</f>
        <v>1428</v>
      </c>
      <c r="H217" s="23" t="s">
        <v>41</v>
      </c>
      <c r="I217" s="23" t="s">
        <v>64</v>
      </c>
      <c r="J217" s="9" t="str">
        <f>IF(Table6[[#This Row],[Order_Status]]="Delivered","Resolved","Open")</f>
        <v>Resolved</v>
      </c>
    </row>
    <row r="218" spans="1:10" x14ac:dyDescent="0.2">
      <c r="A218" s="18" t="s">
        <v>3</v>
      </c>
      <c r="B218" s="2" t="str">
        <f>"V-"&amp;Table3[[#This Row],[Ticket_ID]]</f>
        <v>V-317</v>
      </c>
      <c r="C218" s="24">
        <f>Table3[[#This Row],[Date_Opened]]</f>
        <v>45685</v>
      </c>
      <c r="D218" s="24">
        <f>Table3[[#This Row],[Date_Resolved]]</f>
        <v>45692</v>
      </c>
      <c r="E218" s="25">
        <v>152</v>
      </c>
      <c r="F218" s="9">
        <v>26</v>
      </c>
      <c r="G218" s="9">
        <f>Table6[[#This Row],[Quantity]]*Table6[[#This Row],[Unit Price]]</f>
        <v>3952</v>
      </c>
      <c r="H218" s="23" t="s">
        <v>41</v>
      </c>
      <c r="I218" s="23" t="s">
        <v>64</v>
      </c>
      <c r="J218" s="9" t="str">
        <f>IF(Table6[[#This Row],[Order_Status]]="Delivered","Resolved","Open")</f>
        <v>Resolved</v>
      </c>
    </row>
    <row r="219" spans="1:10" x14ac:dyDescent="0.2">
      <c r="A219" s="19" t="s">
        <v>21</v>
      </c>
      <c r="B219" s="2" t="str">
        <f>"V-"&amp;Table3[[#This Row],[Ticket_ID]]</f>
        <v>V-318</v>
      </c>
      <c r="C219" s="24">
        <f>Table3[[#This Row],[Date_Opened]]</f>
        <v>45662</v>
      </c>
      <c r="D219" s="24">
        <f>Table3[[#This Row],[Date_Resolved]]</f>
        <v>45669</v>
      </c>
      <c r="E219" s="25">
        <v>304</v>
      </c>
      <c r="F219" s="9">
        <v>7</v>
      </c>
      <c r="G219" s="9">
        <f>Table6[[#This Row],[Quantity]]*Table6[[#This Row],[Unit Price]]</f>
        <v>2128</v>
      </c>
      <c r="H219" s="23" t="s">
        <v>43</v>
      </c>
      <c r="I219" s="23" t="s">
        <v>64</v>
      </c>
      <c r="J219" s="9" t="str">
        <f>IF(Table6[[#This Row],[Order_Status]]="Delivered","Resolved","Open")</f>
        <v>Resolved</v>
      </c>
    </row>
    <row r="220" spans="1:10" x14ac:dyDescent="0.2">
      <c r="A220" s="18" t="s">
        <v>21</v>
      </c>
      <c r="B220" s="2" t="str">
        <f>"V-"&amp;Table3[[#This Row],[Ticket_ID]]</f>
        <v>V-319</v>
      </c>
      <c r="C220" s="24">
        <f>Table3[[#This Row],[Date_Opened]]</f>
        <v>45683</v>
      </c>
      <c r="D220" s="24">
        <f>Table3[[#This Row],[Date_Resolved]]</f>
        <v>45683</v>
      </c>
      <c r="E220" s="25">
        <v>612</v>
      </c>
      <c r="F220" s="9">
        <v>103</v>
      </c>
      <c r="G220" s="9">
        <f>Table6[[#This Row],[Quantity]]*Table6[[#This Row],[Unit Price]]</f>
        <v>63036</v>
      </c>
      <c r="H220" s="23" t="s">
        <v>44</v>
      </c>
      <c r="I220" s="23" t="s">
        <v>64</v>
      </c>
      <c r="J220" s="9" t="str">
        <f>IF(Table6[[#This Row],[Order_Status]]="Delivered","Resolved","Open")</f>
        <v>Resolved</v>
      </c>
    </row>
    <row r="221" spans="1:10" x14ac:dyDescent="0.2">
      <c r="A221" s="19" t="s">
        <v>4</v>
      </c>
      <c r="B221" s="2" t="str">
        <f>"V-"&amp;Table3[[#This Row],[Ticket_ID]]</f>
        <v>V-320</v>
      </c>
      <c r="C221" s="24">
        <f>Table3[[#This Row],[Date_Opened]]</f>
        <v>45662</v>
      </c>
      <c r="D221" s="24">
        <f>Table3[[#This Row],[Date_Resolved]]</f>
        <v>45666</v>
      </c>
      <c r="E221" s="25">
        <v>114</v>
      </c>
      <c r="F221" s="9">
        <v>18</v>
      </c>
      <c r="G221" s="9">
        <f>Table6[[#This Row],[Quantity]]*Table6[[#This Row],[Unit Price]]</f>
        <v>2052</v>
      </c>
      <c r="H221" s="23" t="s">
        <v>41</v>
      </c>
      <c r="I221" s="23" t="s">
        <v>64</v>
      </c>
      <c r="J221" s="9" t="str">
        <f>IF(Table6[[#This Row],[Order_Status]]="Delivered","Resolved","Open")</f>
        <v>Resolved</v>
      </c>
    </row>
    <row r="222" spans="1:10" x14ac:dyDescent="0.2">
      <c r="A222" s="18" t="s">
        <v>1</v>
      </c>
      <c r="B222" s="2" t="str">
        <f>"V-"&amp;Table3[[#This Row],[Ticket_ID]]</f>
        <v>V-321</v>
      </c>
      <c r="C222" s="24">
        <f>Table3[[#This Row],[Date_Opened]]</f>
        <v>45680</v>
      </c>
      <c r="D222" s="24">
        <f>Table3[[#This Row],[Date_Resolved]]</f>
        <v>45682</v>
      </c>
      <c r="E222" s="25">
        <v>345</v>
      </c>
      <c r="F222" s="9">
        <v>5</v>
      </c>
      <c r="G222" s="9">
        <f>Table6[[#This Row],[Quantity]]*Table6[[#This Row],[Unit Price]]</f>
        <v>1725</v>
      </c>
      <c r="H222" s="23" t="s">
        <v>43</v>
      </c>
      <c r="I222" s="23" t="s">
        <v>64</v>
      </c>
      <c r="J222" s="9" t="str">
        <f>IF(Table6[[#This Row],[Order_Status]]="Delivered","Resolved","Open")</f>
        <v>Resolved</v>
      </c>
    </row>
    <row r="223" spans="1:10" x14ac:dyDescent="0.2">
      <c r="A223" s="19" t="s">
        <v>1</v>
      </c>
      <c r="B223" s="2" t="str">
        <f>"V-"&amp;Table3[[#This Row],[Ticket_ID]]</f>
        <v>V-322</v>
      </c>
      <c r="C223" s="24">
        <f>Table3[[#This Row],[Date_Opened]]</f>
        <v>45670</v>
      </c>
      <c r="D223" s="24">
        <f>Table3[[#This Row],[Date_Resolved]]</f>
        <v>45670</v>
      </c>
      <c r="E223" s="25">
        <v>249</v>
      </c>
      <c r="F223" s="9">
        <v>10</v>
      </c>
      <c r="G223" s="9">
        <f>Table6[[#This Row],[Quantity]]*Table6[[#This Row],[Unit Price]]</f>
        <v>2490</v>
      </c>
      <c r="H223" s="23" t="s">
        <v>43</v>
      </c>
      <c r="I223" s="23" t="s">
        <v>64</v>
      </c>
      <c r="J223" s="9" t="str">
        <f>IF(Table6[[#This Row],[Order_Status]]="Delivered","Resolved","Open")</f>
        <v>Resolved</v>
      </c>
    </row>
    <row r="224" spans="1:10" x14ac:dyDescent="0.2">
      <c r="A224" s="18" t="s">
        <v>2</v>
      </c>
      <c r="B224" s="2" t="str">
        <f>"V-"&amp;Table3[[#This Row],[Ticket_ID]]</f>
        <v>V-323</v>
      </c>
      <c r="C224" s="24">
        <f>Table3[[#This Row],[Date_Opened]]</f>
        <v>45661</v>
      </c>
      <c r="D224" s="24">
        <f>Table3[[#This Row],[Date_Resolved]]</f>
        <v>45667</v>
      </c>
      <c r="E224" s="25">
        <v>486</v>
      </c>
      <c r="F224" s="9">
        <v>41</v>
      </c>
      <c r="G224" s="9">
        <f>Table6[[#This Row],[Quantity]]*Table6[[#This Row],[Unit Price]]</f>
        <v>19926</v>
      </c>
      <c r="H224" s="23" t="s">
        <v>44</v>
      </c>
      <c r="I224" s="23" t="s">
        <v>64</v>
      </c>
      <c r="J224" s="9" t="str">
        <f>IF(Table6[[#This Row],[Order_Status]]="Delivered","Resolved","Open")</f>
        <v>Resolved</v>
      </c>
    </row>
    <row r="225" spans="1:10" x14ac:dyDescent="0.2">
      <c r="A225" s="19" t="s">
        <v>4</v>
      </c>
      <c r="B225" s="2" t="str">
        <f>"V-"&amp;Table3[[#This Row],[Ticket_ID]]</f>
        <v>V-324</v>
      </c>
      <c r="C225" s="24">
        <f>Table3[[#This Row],[Date_Opened]]</f>
        <v>45661</v>
      </c>
      <c r="D225" s="24">
        <f>Table3[[#This Row],[Date_Resolved]]</f>
        <v>45667</v>
      </c>
      <c r="E225" s="25">
        <v>568</v>
      </c>
      <c r="F225" s="9">
        <v>38</v>
      </c>
      <c r="G225" s="9">
        <f>Table6[[#This Row],[Quantity]]*Table6[[#This Row],[Unit Price]]</f>
        <v>21584</v>
      </c>
      <c r="H225" s="23" t="s">
        <v>44</v>
      </c>
      <c r="I225" s="23" t="s">
        <v>67</v>
      </c>
      <c r="J225" s="9" t="str">
        <f>IF(Table6[[#This Row],[Order_Status]]="Delivered","Resolved","Open")</f>
        <v>Open</v>
      </c>
    </row>
    <row r="226" spans="1:10" x14ac:dyDescent="0.2">
      <c r="A226" s="18" t="s">
        <v>3</v>
      </c>
      <c r="B226" s="2" t="str">
        <f>"V-"&amp;Table3[[#This Row],[Ticket_ID]]</f>
        <v>V-325</v>
      </c>
      <c r="C226" s="24">
        <f>Table3[[#This Row],[Date_Opened]]</f>
        <v>45662</v>
      </c>
      <c r="D226" s="24">
        <f>Table3[[#This Row],[Date_Resolved]]</f>
        <v>45667</v>
      </c>
      <c r="E226" s="25">
        <v>332</v>
      </c>
      <c r="F226" s="9">
        <v>40</v>
      </c>
      <c r="G226" s="9">
        <f>Table6[[#This Row],[Quantity]]*Table6[[#This Row],[Unit Price]]</f>
        <v>13280</v>
      </c>
      <c r="H226" s="23" t="s">
        <v>43</v>
      </c>
      <c r="I226" s="23" t="s">
        <v>64</v>
      </c>
      <c r="J226" s="9" t="str">
        <f>IF(Table6[[#This Row],[Order_Status]]="Delivered","Resolved","Open")</f>
        <v>Resolved</v>
      </c>
    </row>
    <row r="227" spans="1:10" x14ac:dyDescent="0.2">
      <c r="A227" s="19" t="s">
        <v>4</v>
      </c>
      <c r="B227" s="2" t="str">
        <f>"V-"&amp;Table3[[#This Row],[Ticket_ID]]</f>
        <v>V-326</v>
      </c>
      <c r="C227" s="24">
        <f>Table3[[#This Row],[Date_Opened]]</f>
        <v>45661</v>
      </c>
      <c r="D227" s="24">
        <f>Table3[[#This Row],[Date_Resolved]]</f>
        <v>45666</v>
      </c>
      <c r="E227" s="25">
        <v>470</v>
      </c>
      <c r="F227" s="9">
        <v>22</v>
      </c>
      <c r="G227" s="9">
        <f>Table6[[#This Row],[Quantity]]*Table6[[#This Row],[Unit Price]]</f>
        <v>10340</v>
      </c>
      <c r="H227" s="23" t="s">
        <v>42</v>
      </c>
      <c r="I227" s="23" t="s">
        <v>64</v>
      </c>
      <c r="J227" s="9" t="str">
        <f>IF(Table6[[#This Row],[Order_Status]]="Delivered","Resolved","Open")</f>
        <v>Resolved</v>
      </c>
    </row>
    <row r="228" spans="1:10" x14ac:dyDescent="0.2">
      <c r="A228" s="18" t="s">
        <v>22</v>
      </c>
      <c r="B228" s="2" t="str">
        <f>"V-"&amp;Table3[[#This Row],[Ticket_ID]]</f>
        <v>V-327</v>
      </c>
      <c r="C228" s="24">
        <f>Table3[[#This Row],[Date_Opened]]</f>
        <v>45682</v>
      </c>
      <c r="D228" s="24">
        <f>Table3[[#This Row],[Date_Resolved]]</f>
        <v>45687</v>
      </c>
      <c r="E228" s="25">
        <v>291</v>
      </c>
      <c r="F228" s="9">
        <v>27</v>
      </c>
      <c r="G228" s="9">
        <f>Table6[[#This Row],[Quantity]]*Table6[[#This Row],[Unit Price]]</f>
        <v>7857</v>
      </c>
      <c r="H228" s="23" t="s">
        <v>40</v>
      </c>
      <c r="I228" s="23" t="s">
        <v>64</v>
      </c>
      <c r="J228" s="9" t="str">
        <f>IF(Table6[[#This Row],[Order_Status]]="Delivered","Resolved","Open")</f>
        <v>Resolved</v>
      </c>
    </row>
    <row r="229" spans="1:10" x14ac:dyDescent="0.2">
      <c r="A229" s="19" t="s">
        <v>4</v>
      </c>
      <c r="B229" s="2" t="str">
        <f>"V-"&amp;Table3[[#This Row],[Ticket_ID]]</f>
        <v>V-328</v>
      </c>
      <c r="C229" s="24">
        <f>Table3[[#This Row],[Date_Opened]]</f>
        <v>45671</v>
      </c>
      <c r="D229" s="24">
        <f>Table3[[#This Row],[Date_Resolved]]</f>
        <v>45676</v>
      </c>
      <c r="E229" s="25">
        <v>139</v>
      </c>
      <c r="F229" s="9">
        <v>9</v>
      </c>
      <c r="G229" s="9">
        <f>Table6[[#This Row],[Quantity]]*Table6[[#This Row],[Unit Price]]</f>
        <v>1251</v>
      </c>
      <c r="H229" s="23" t="s">
        <v>41</v>
      </c>
      <c r="I229" s="23" t="s">
        <v>64</v>
      </c>
      <c r="J229" s="9" t="str">
        <f>IF(Table6[[#This Row],[Order_Status]]="Delivered","Resolved","Open")</f>
        <v>Resolved</v>
      </c>
    </row>
    <row r="230" spans="1:10" x14ac:dyDescent="0.2">
      <c r="A230" s="18" t="s">
        <v>22</v>
      </c>
      <c r="B230" s="2" t="str">
        <f>"V-"&amp;Table3[[#This Row],[Ticket_ID]]</f>
        <v>V-329</v>
      </c>
      <c r="C230" s="24">
        <f>Table3[[#This Row],[Date_Opened]]</f>
        <v>45664</v>
      </c>
      <c r="D230" s="24">
        <f>Table3[[#This Row],[Date_Resolved]]</f>
        <v>45667</v>
      </c>
      <c r="E230" s="25">
        <v>268</v>
      </c>
      <c r="F230" s="9">
        <v>19</v>
      </c>
      <c r="G230" s="9">
        <f>Table6[[#This Row],[Quantity]]*Table6[[#This Row],[Unit Price]]</f>
        <v>5092</v>
      </c>
      <c r="H230" s="23" t="s">
        <v>40</v>
      </c>
      <c r="I230" s="23" t="s">
        <v>66</v>
      </c>
      <c r="J230" s="9" t="str">
        <f>IF(Table6[[#This Row],[Order_Status]]="Delivered","Resolved","Open")</f>
        <v>Open</v>
      </c>
    </row>
    <row r="231" spans="1:10" x14ac:dyDescent="0.2">
      <c r="A231" s="19" t="s">
        <v>21</v>
      </c>
      <c r="B231" s="2" t="str">
        <f>"V-"&amp;Table3[[#This Row],[Ticket_ID]]</f>
        <v>V-330</v>
      </c>
      <c r="C231" s="24">
        <f>Table3[[#This Row],[Date_Opened]]</f>
        <v>45687</v>
      </c>
      <c r="D231" s="24">
        <f>Table3[[#This Row],[Date_Resolved]]</f>
        <v>45692</v>
      </c>
      <c r="E231" s="25">
        <v>130</v>
      </c>
      <c r="F231" s="9">
        <v>32</v>
      </c>
      <c r="G231" s="9">
        <f>Table6[[#This Row],[Quantity]]*Table6[[#This Row],[Unit Price]]</f>
        <v>4160</v>
      </c>
      <c r="H231" s="23" t="s">
        <v>41</v>
      </c>
      <c r="I231" s="23" t="s">
        <v>64</v>
      </c>
      <c r="J231" s="9" t="str">
        <f>IF(Table6[[#This Row],[Order_Status]]="Delivered","Resolved","Open")</f>
        <v>Resolved</v>
      </c>
    </row>
    <row r="232" spans="1:10" x14ac:dyDescent="0.2">
      <c r="A232" s="18" t="s">
        <v>23</v>
      </c>
      <c r="B232" s="2" t="str">
        <f>"V-"&amp;Table3[[#This Row],[Ticket_ID]]</f>
        <v>V-331</v>
      </c>
      <c r="C232" s="24">
        <f>Table3[[#This Row],[Date_Opened]]</f>
        <v>45682</v>
      </c>
      <c r="D232" s="24">
        <f>Table3[[#This Row],[Date_Resolved]]</f>
        <v>45689</v>
      </c>
      <c r="E232" s="25">
        <v>488</v>
      </c>
      <c r="F232" s="9">
        <v>12</v>
      </c>
      <c r="G232" s="9">
        <f>Table6[[#This Row],[Quantity]]*Table6[[#This Row],[Unit Price]]</f>
        <v>5856</v>
      </c>
      <c r="H232" s="23" t="s">
        <v>42</v>
      </c>
      <c r="I232" s="23" t="s">
        <v>64</v>
      </c>
      <c r="J232" s="9" t="str">
        <f>IF(Table6[[#This Row],[Order_Status]]="Delivered","Resolved","Open")</f>
        <v>Resolved</v>
      </c>
    </row>
    <row r="233" spans="1:10" x14ac:dyDescent="0.2">
      <c r="A233" s="19" t="s">
        <v>2</v>
      </c>
      <c r="B233" s="2" t="str">
        <f>"V-"&amp;Table3[[#This Row],[Ticket_ID]]</f>
        <v>V-332</v>
      </c>
      <c r="C233" s="24">
        <f>Table3[[#This Row],[Date_Opened]]</f>
        <v>45675</v>
      </c>
      <c r="D233" s="24">
        <f>Table3[[#This Row],[Date_Resolved]]</f>
        <v>45680</v>
      </c>
      <c r="E233" s="25">
        <v>110</v>
      </c>
      <c r="F233" s="9">
        <v>9</v>
      </c>
      <c r="G233" s="9">
        <f>Table6[[#This Row],[Quantity]]*Table6[[#This Row],[Unit Price]]</f>
        <v>990</v>
      </c>
      <c r="H233" s="23" t="s">
        <v>41</v>
      </c>
      <c r="I233" s="23" t="s">
        <v>64</v>
      </c>
      <c r="J233" s="9" t="str">
        <f>IF(Table6[[#This Row],[Order_Status]]="Delivered","Resolved","Open")</f>
        <v>Resolved</v>
      </c>
    </row>
    <row r="234" spans="1:10" x14ac:dyDescent="0.2">
      <c r="A234" s="18" t="s">
        <v>4</v>
      </c>
      <c r="B234" s="2" t="str">
        <f>"V-"&amp;Table3[[#This Row],[Ticket_ID]]</f>
        <v>V-333</v>
      </c>
      <c r="C234" s="24">
        <f>Table3[[#This Row],[Date_Opened]]</f>
        <v>45663</v>
      </c>
      <c r="D234" s="24">
        <f>Table3[[#This Row],[Date_Resolved]]</f>
        <v>45670</v>
      </c>
      <c r="E234" s="25">
        <v>435</v>
      </c>
      <c r="F234" s="9">
        <v>16</v>
      </c>
      <c r="G234" s="9">
        <f>Table6[[#This Row],[Quantity]]*Table6[[#This Row],[Unit Price]]</f>
        <v>6960</v>
      </c>
      <c r="H234" s="23" t="s">
        <v>42</v>
      </c>
      <c r="I234" s="23" t="s">
        <v>64</v>
      </c>
      <c r="J234" s="9" t="str">
        <f>IF(Table6[[#This Row],[Order_Status]]="Delivered","Resolved","Open")</f>
        <v>Resolved</v>
      </c>
    </row>
    <row r="235" spans="1:10" x14ac:dyDescent="0.2">
      <c r="A235" s="19" t="s">
        <v>23</v>
      </c>
      <c r="B235" s="2" t="str">
        <f>"V-"&amp;Table3[[#This Row],[Ticket_ID]]</f>
        <v>V-334</v>
      </c>
      <c r="C235" s="24">
        <f>Table3[[#This Row],[Date_Opened]]</f>
        <v>45661</v>
      </c>
      <c r="D235" s="24">
        <f>Table3[[#This Row],[Date_Resolved]]</f>
        <v>45667</v>
      </c>
      <c r="E235" s="25">
        <v>170</v>
      </c>
      <c r="F235" s="9">
        <v>10</v>
      </c>
      <c r="G235" s="9">
        <f>Table6[[#This Row],[Quantity]]*Table6[[#This Row],[Unit Price]]</f>
        <v>1700</v>
      </c>
      <c r="H235" s="23" t="s">
        <v>41</v>
      </c>
      <c r="I235" s="23" t="s">
        <v>64</v>
      </c>
      <c r="J235" s="9" t="str">
        <f>IF(Table6[[#This Row],[Order_Status]]="Delivered","Resolved","Open")</f>
        <v>Resolved</v>
      </c>
    </row>
    <row r="236" spans="1:10" x14ac:dyDescent="0.2">
      <c r="A236" s="18" t="s">
        <v>1</v>
      </c>
      <c r="B236" s="2" t="str">
        <f>"V-"&amp;Table3[[#This Row],[Ticket_ID]]</f>
        <v>V-335</v>
      </c>
      <c r="C236" s="24">
        <f>Table3[[#This Row],[Date_Opened]]</f>
        <v>45665</v>
      </c>
      <c r="D236" s="24">
        <f>Table3[[#This Row],[Date_Resolved]]</f>
        <v>45669</v>
      </c>
      <c r="E236" s="25">
        <v>246</v>
      </c>
      <c r="F236" s="9">
        <v>17</v>
      </c>
      <c r="G236" s="9">
        <f>Table6[[#This Row],[Quantity]]*Table6[[#This Row],[Unit Price]]</f>
        <v>4182</v>
      </c>
      <c r="H236" s="23" t="s">
        <v>43</v>
      </c>
      <c r="I236" s="23" t="s">
        <v>64</v>
      </c>
      <c r="J236" s="9" t="str">
        <f>IF(Table6[[#This Row],[Order_Status]]="Delivered","Resolved","Open")</f>
        <v>Resolved</v>
      </c>
    </row>
    <row r="237" spans="1:10" x14ac:dyDescent="0.2">
      <c r="A237" s="19" t="s">
        <v>20</v>
      </c>
      <c r="B237" s="2" t="str">
        <f>"V-"&amp;Table3[[#This Row],[Ticket_ID]]</f>
        <v>V-336</v>
      </c>
      <c r="C237" s="24">
        <f>Table3[[#This Row],[Date_Opened]]</f>
        <v>45660</v>
      </c>
      <c r="D237" s="24">
        <f>Table3[[#This Row],[Date_Resolved]]</f>
        <v>45661</v>
      </c>
      <c r="E237" s="25">
        <v>538</v>
      </c>
      <c r="F237" s="9">
        <v>99</v>
      </c>
      <c r="G237" s="9">
        <f>Table6[[#This Row],[Quantity]]*Table6[[#This Row],[Unit Price]]</f>
        <v>53262</v>
      </c>
      <c r="H237" s="23" t="s">
        <v>44</v>
      </c>
      <c r="I237" s="23" t="s">
        <v>64</v>
      </c>
      <c r="J237" s="9" t="str">
        <f>IF(Table6[[#This Row],[Order_Status]]="Delivered","Resolved","Open")</f>
        <v>Resolved</v>
      </c>
    </row>
    <row r="238" spans="1:10" x14ac:dyDescent="0.2">
      <c r="A238" s="18" t="s">
        <v>21</v>
      </c>
      <c r="B238" s="2" t="str">
        <f>"V-"&amp;Table3[[#This Row],[Ticket_ID]]</f>
        <v>V-337</v>
      </c>
      <c r="C238" s="24">
        <f>Table3[[#This Row],[Date_Opened]]</f>
        <v>45668</v>
      </c>
      <c r="D238" s="24">
        <f>Table3[[#This Row],[Date_Resolved]]</f>
        <v>45675</v>
      </c>
      <c r="E238" s="25">
        <v>229</v>
      </c>
      <c r="F238" s="9">
        <v>26</v>
      </c>
      <c r="G238" s="9">
        <f>Table6[[#This Row],[Quantity]]*Table6[[#This Row],[Unit Price]]</f>
        <v>5954</v>
      </c>
      <c r="H238" s="23" t="s">
        <v>43</v>
      </c>
      <c r="I238" s="23" t="s">
        <v>64</v>
      </c>
      <c r="J238" s="9" t="str">
        <f>IF(Table6[[#This Row],[Order_Status]]="Delivered","Resolved","Open")</f>
        <v>Resolved</v>
      </c>
    </row>
    <row r="239" spans="1:10" x14ac:dyDescent="0.2">
      <c r="A239" s="19" t="s">
        <v>3</v>
      </c>
      <c r="B239" s="2" t="str">
        <f>"V-"&amp;Table3[[#This Row],[Ticket_ID]]</f>
        <v>V-338</v>
      </c>
      <c r="C239" s="24">
        <f>Table3[[#This Row],[Date_Opened]]</f>
        <v>45688</v>
      </c>
      <c r="D239" s="24">
        <f>Table3[[#This Row],[Date_Resolved]]</f>
        <v>45691</v>
      </c>
      <c r="E239" s="25">
        <v>181</v>
      </c>
      <c r="F239" s="9">
        <v>15</v>
      </c>
      <c r="G239" s="9">
        <f>Table6[[#This Row],[Quantity]]*Table6[[#This Row],[Unit Price]]</f>
        <v>2715</v>
      </c>
      <c r="H239" s="23" t="s">
        <v>40</v>
      </c>
      <c r="I239" s="23" t="s">
        <v>64</v>
      </c>
      <c r="J239" s="9" t="str">
        <f>IF(Table6[[#This Row],[Order_Status]]="Delivered","Resolved","Open")</f>
        <v>Resolved</v>
      </c>
    </row>
    <row r="240" spans="1:10" x14ac:dyDescent="0.2">
      <c r="A240" s="18" t="s">
        <v>21</v>
      </c>
      <c r="B240" s="2" t="str">
        <f>"V-"&amp;Table3[[#This Row],[Ticket_ID]]</f>
        <v>V-339</v>
      </c>
      <c r="C240" s="24">
        <f>Table3[[#This Row],[Date_Opened]]</f>
        <v>45667</v>
      </c>
      <c r="D240" s="24">
        <f>Table3[[#This Row],[Date_Resolved]]</f>
        <v>45668</v>
      </c>
      <c r="E240" s="25">
        <v>326</v>
      </c>
      <c r="F240" s="9">
        <v>35</v>
      </c>
      <c r="G240" s="9">
        <f>Table6[[#This Row],[Quantity]]*Table6[[#This Row],[Unit Price]]</f>
        <v>11410</v>
      </c>
      <c r="H240" s="23" t="s">
        <v>43</v>
      </c>
      <c r="I240" s="23" t="s">
        <v>64</v>
      </c>
      <c r="J240" s="9" t="str">
        <f>IF(Table6[[#This Row],[Order_Status]]="Delivered","Resolved","Open")</f>
        <v>Resolved</v>
      </c>
    </row>
    <row r="241" spans="1:10" x14ac:dyDescent="0.2">
      <c r="A241" s="19" t="s">
        <v>1</v>
      </c>
      <c r="B241" s="2" t="str">
        <f>"V-"&amp;Table3[[#This Row],[Ticket_ID]]</f>
        <v>V-340</v>
      </c>
      <c r="C241" s="24">
        <f>Table3[[#This Row],[Date_Opened]]</f>
        <v>45674</v>
      </c>
      <c r="D241" s="24">
        <f>Table3[[#This Row],[Date_Resolved]]</f>
        <v>45679</v>
      </c>
      <c r="E241" s="25">
        <v>192</v>
      </c>
      <c r="F241" s="9">
        <v>5</v>
      </c>
      <c r="G241" s="9">
        <f>Table6[[#This Row],[Quantity]]*Table6[[#This Row],[Unit Price]]</f>
        <v>960</v>
      </c>
      <c r="H241" s="23" t="s">
        <v>41</v>
      </c>
      <c r="I241" s="23" t="s">
        <v>65</v>
      </c>
      <c r="J241" s="9" t="str">
        <f>IF(Table6[[#This Row],[Order_Status]]="Delivered","Resolved","Open")</f>
        <v>Open</v>
      </c>
    </row>
    <row r="242" spans="1:10" x14ac:dyDescent="0.2">
      <c r="A242" s="18" t="s">
        <v>4</v>
      </c>
      <c r="B242" s="2" t="str">
        <f>"V-"&amp;Table3[[#This Row],[Ticket_ID]]</f>
        <v>V-341</v>
      </c>
      <c r="C242" s="24">
        <f>Table3[[#This Row],[Date_Opened]]</f>
        <v>45678</v>
      </c>
      <c r="D242" s="24">
        <f>Table3[[#This Row],[Date_Resolved]]</f>
        <v>45678</v>
      </c>
      <c r="E242" s="25">
        <v>421</v>
      </c>
      <c r="F242" s="9">
        <v>92</v>
      </c>
      <c r="G242" s="9">
        <f>Table6[[#This Row],[Quantity]]*Table6[[#This Row],[Unit Price]]</f>
        <v>38732</v>
      </c>
      <c r="H242" s="23" t="s">
        <v>44</v>
      </c>
      <c r="I242" s="23" t="s">
        <v>64</v>
      </c>
      <c r="J242" s="9" t="str">
        <f>IF(Table6[[#This Row],[Order_Status]]="Delivered","Resolved","Open")</f>
        <v>Resolved</v>
      </c>
    </row>
    <row r="243" spans="1:10" x14ac:dyDescent="0.2">
      <c r="A243" s="19" t="s">
        <v>20</v>
      </c>
      <c r="B243" s="2" t="str">
        <f>"V-"&amp;Table3[[#This Row],[Ticket_ID]]</f>
        <v>V-342</v>
      </c>
      <c r="C243" s="24">
        <f>Table3[[#This Row],[Date_Opened]]</f>
        <v>45672</v>
      </c>
      <c r="D243" s="24">
        <f>Table3[[#This Row],[Date_Resolved]]</f>
        <v>45678</v>
      </c>
      <c r="E243" s="25">
        <v>232</v>
      </c>
      <c r="F243" s="9">
        <v>27</v>
      </c>
      <c r="G243" s="9">
        <f>Table6[[#This Row],[Quantity]]*Table6[[#This Row],[Unit Price]]</f>
        <v>6264</v>
      </c>
      <c r="H243" s="23" t="s">
        <v>43</v>
      </c>
      <c r="I243" s="23" t="s">
        <v>64</v>
      </c>
      <c r="J243" s="9" t="str">
        <f>IF(Table6[[#This Row],[Order_Status]]="Delivered","Resolved","Open")</f>
        <v>Resolved</v>
      </c>
    </row>
    <row r="244" spans="1:10" x14ac:dyDescent="0.2">
      <c r="A244" s="18" t="s">
        <v>21</v>
      </c>
      <c r="B244" s="2" t="str">
        <f>"V-"&amp;Table3[[#This Row],[Ticket_ID]]</f>
        <v>V-343</v>
      </c>
      <c r="C244" s="24">
        <f>Table3[[#This Row],[Date_Opened]]</f>
        <v>45675</v>
      </c>
      <c r="D244" s="24">
        <f>Table3[[#This Row],[Date_Resolved]]</f>
        <v>45682</v>
      </c>
      <c r="E244" s="25">
        <v>231</v>
      </c>
      <c r="F244" s="9">
        <v>14</v>
      </c>
      <c r="G244" s="9">
        <f>Table6[[#This Row],[Quantity]]*Table6[[#This Row],[Unit Price]]</f>
        <v>3234</v>
      </c>
      <c r="H244" s="23" t="s">
        <v>40</v>
      </c>
      <c r="I244" s="23" t="s">
        <v>64</v>
      </c>
      <c r="J244" s="9" t="str">
        <f>IF(Table6[[#This Row],[Order_Status]]="Delivered","Resolved","Open")</f>
        <v>Resolved</v>
      </c>
    </row>
    <row r="245" spans="1:10" x14ac:dyDescent="0.2">
      <c r="A245" s="19" t="s">
        <v>4</v>
      </c>
      <c r="B245" s="2" t="str">
        <f>"V-"&amp;Table3[[#This Row],[Ticket_ID]]</f>
        <v>V-344</v>
      </c>
      <c r="C245" s="24">
        <f>Table3[[#This Row],[Date_Opened]]</f>
        <v>45673</v>
      </c>
      <c r="D245" s="24">
        <f>Table3[[#This Row],[Date_Resolved]]</f>
        <v>45680</v>
      </c>
      <c r="E245" s="25">
        <v>253</v>
      </c>
      <c r="F245" s="9">
        <v>16</v>
      </c>
      <c r="G245" s="9">
        <f>Table6[[#This Row],[Quantity]]*Table6[[#This Row],[Unit Price]]</f>
        <v>4048</v>
      </c>
      <c r="H245" s="23" t="s">
        <v>43</v>
      </c>
      <c r="I245" s="23" t="s">
        <v>64</v>
      </c>
      <c r="J245" s="9" t="str">
        <f>IF(Table6[[#This Row],[Order_Status]]="Delivered","Resolved","Open")</f>
        <v>Resolved</v>
      </c>
    </row>
    <row r="246" spans="1:10" x14ac:dyDescent="0.2">
      <c r="A246" s="18" t="s">
        <v>4</v>
      </c>
      <c r="B246" s="2" t="str">
        <f>"V-"&amp;Table3[[#This Row],[Ticket_ID]]</f>
        <v>V-345</v>
      </c>
      <c r="C246" s="24">
        <f>Table3[[#This Row],[Date_Opened]]</f>
        <v>45663</v>
      </c>
      <c r="D246" s="24">
        <f>Table3[[#This Row],[Date_Resolved]]</f>
        <v>45666</v>
      </c>
      <c r="E246" s="25">
        <v>187</v>
      </c>
      <c r="F246" s="9">
        <v>10</v>
      </c>
      <c r="G246" s="9">
        <f>Table6[[#This Row],[Quantity]]*Table6[[#This Row],[Unit Price]]</f>
        <v>1870</v>
      </c>
      <c r="H246" s="23" t="s">
        <v>41</v>
      </c>
      <c r="I246" s="23" t="s">
        <v>64</v>
      </c>
      <c r="J246" s="9" t="str">
        <f>IF(Table6[[#This Row],[Order_Status]]="Delivered","Resolved","Open")</f>
        <v>Resolved</v>
      </c>
    </row>
    <row r="247" spans="1:10" x14ac:dyDescent="0.2">
      <c r="A247" s="19" t="s">
        <v>1</v>
      </c>
      <c r="B247" s="2" t="str">
        <f>"V-"&amp;Table3[[#This Row],[Ticket_ID]]</f>
        <v>V-346</v>
      </c>
      <c r="C247" s="24">
        <f>Table3[[#This Row],[Date_Opened]]</f>
        <v>45674</v>
      </c>
      <c r="D247" s="24">
        <f>Table3[[#This Row],[Date_Resolved]]</f>
        <v>45680</v>
      </c>
      <c r="E247" s="25">
        <v>128</v>
      </c>
      <c r="F247" s="9">
        <v>21</v>
      </c>
      <c r="G247" s="9">
        <f>Table6[[#This Row],[Quantity]]*Table6[[#This Row],[Unit Price]]</f>
        <v>2688</v>
      </c>
      <c r="H247" s="23" t="s">
        <v>40</v>
      </c>
      <c r="I247" s="23" t="s">
        <v>64</v>
      </c>
      <c r="J247" s="9" t="str">
        <f>IF(Table6[[#This Row],[Order_Status]]="Delivered","Resolved","Open")</f>
        <v>Resolved</v>
      </c>
    </row>
    <row r="248" spans="1:10" x14ac:dyDescent="0.2">
      <c r="A248" s="18" t="s">
        <v>2</v>
      </c>
      <c r="B248" s="2" t="str">
        <f>"V-"&amp;Table3[[#This Row],[Ticket_ID]]</f>
        <v>V-347</v>
      </c>
      <c r="C248" s="24">
        <f>Table3[[#This Row],[Date_Opened]]</f>
        <v>45676</v>
      </c>
      <c r="D248" s="24">
        <f>Table3[[#This Row],[Date_Resolved]]</f>
        <v>45679</v>
      </c>
      <c r="E248" s="25">
        <v>240</v>
      </c>
      <c r="F248" s="9">
        <v>18</v>
      </c>
      <c r="G248" s="9">
        <f>Table6[[#This Row],[Quantity]]*Table6[[#This Row],[Unit Price]]</f>
        <v>4320</v>
      </c>
      <c r="H248" s="23" t="s">
        <v>41</v>
      </c>
      <c r="I248" s="23" t="s">
        <v>64</v>
      </c>
      <c r="J248" s="9" t="str">
        <f>IF(Table6[[#This Row],[Order_Status]]="Delivered","Resolved","Open")</f>
        <v>Resolved</v>
      </c>
    </row>
    <row r="249" spans="1:10" x14ac:dyDescent="0.2">
      <c r="A249" s="19" t="s">
        <v>23</v>
      </c>
      <c r="B249" s="2" t="str">
        <f>"V-"&amp;Table3[[#This Row],[Ticket_ID]]</f>
        <v>V-348</v>
      </c>
      <c r="C249" s="24">
        <f>Table3[[#This Row],[Date_Opened]]</f>
        <v>45677</v>
      </c>
      <c r="D249" s="24">
        <f>Table3[[#This Row],[Date_Resolved]]</f>
        <v>45679</v>
      </c>
      <c r="E249" s="25">
        <v>344</v>
      </c>
      <c r="F249" s="9">
        <v>32</v>
      </c>
      <c r="G249" s="9">
        <f>Table6[[#This Row],[Quantity]]*Table6[[#This Row],[Unit Price]]</f>
        <v>11008</v>
      </c>
      <c r="H249" s="23" t="s">
        <v>40</v>
      </c>
      <c r="I249" s="23" t="s">
        <v>66</v>
      </c>
      <c r="J249" s="9" t="str">
        <f>IF(Table6[[#This Row],[Order_Status]]="Delivered","Resolved","Open")</f>
        <v>Open</v>
      </c>
    </row>
    <row r="250" spans="1:10" x14ac:dyDescent="0.2">
      <c r="A250" s="18" t="s">
        <v>1</v>
      </c>
      <c r="B250" s="2" t="str">
        <f>"V-"&amp;Table3[[#This Row],[Ticket_ID]]</f>
        <v>V-349</v>
      </c>
      <c r="C250" s="24">
        <f>Table3[[#This Row],[Date_Opened]]</f>
        <v>45660</v>
      </c>
      <c r="D250" s="24">
        <f>Table3[[#This Row],[Date_Resolved]]</f>
        <v>45665</v>
      </c>
      <c r="E250" s="25">
        <v>314</v>
      </c>
      <c r="F250" s="9">
        <v>28</v>
      </c>
      <c r="G250" s="9">
        <f>Table6[[#This Row],[Quantity]]*Table6[[#This Row],[Unit Price]]</f>
        <v>8792</v>
      </c>
      <c r="H250" s="23" t="s">
        <v>43</v>
      </c>
      <c r="I250" s="23" t="s">
        <v>64</v>
      </c>
      <c r="J250" s="9" t="str">
        <f>IF(Table6[[#This Row],[Order_Status]]="Delivered","Resolved","Open")</f>
        <v>Resolved</v>
      </c>
    </row>
    <row r="251" spans="1:10" x14ac:dyDescent="0.2">
      <c r="A251" s="19" t="s">
        <v>1</v>
      </c>
      <c r="B251" s="2" t="str">
        <f>"V-"&amp;Table3[[#This Row],[Ticket_ID]]</f>
        <v>V-350</v>
      </c>
      <c r="C251" s="24">
        <f>Table3[[#This Row],[Date_Opened]]</f>
        <v>45671</v>
      </c>
      <c r="D251" s="24">
        <f>Table3[[#This Row],[Date_Resolved]]</f>
        <v>45674</v>
      </c>
      <c r="E251" s="25">
        <v>320</v>
      </c>
      <c r="F251" s="9">
        <v>24</v>
      </c>
      <c r="G251" s="9">
        <f>Table6[[#This Row],[Quantity]]*Table6[[#This Row],[Unit Price]]</f>
        <v>7680</v>
      </c>
      <c r="H251" s="23" t="s">
        <v>44</v>
      </c>
      <c r="I251" s="23" t="s">
        <v>64</v>
      </c>
      <c r="J251" s="9" t="str">
        <f>IF(Table6[[#This Row],[Order_Status]]="Delivered","Resolved","Open")</f>
        <v>Resolved</v>
      </c>
    </row>
    <row r="252" spans="1:10" x14ac:dyDescent="0.2">
      <c r="A252" s="18" t="s">
        <v>20</v>
      </c>
      <c r="B252" s="2" t="str">
        <f>"V-"&amp;Table3[[#This Row],[Ticket_ID]]</f>
        <v>V-351</v>
      </c>
      <c r="C252" s="24">
        <f>Table3[[#This Row],[Date_Opened]]</f>
        <v>45660</v>
      </c>
      <c r="D252" s="24">
        <f>Table3[[#This Row],[Date_Resolved]]</f>
        <v>45660</v>
      </c>
      <c r="E252" s="25">
        <v>189</v>
      </c>
      <c r="F252" s="9">
        <v>20</v>
      </c>
      <c r="G252" s="9">
        <f>Table6[[#This Row],[Quantity]]*Table6[[#This Row],[Unit Price]]</f>
        <v>3780</v>
      </c>
      <c r="H252" s="23" t="s">
        <v>43</v>
      </c>
      <c r="I252" s="23" t="s">
        <v>66</v>
      </c>
      <c r="J252" s="9" t="str">
        <f>IF(Table6[[#This Row],[Order_Status]]="Delivered","Resolved","Open")</f>
        <v>Open</v>
      </c>
    </row>
    <row r="253" spans="1:10" x14ac:dyDescent="0.2">
      <c r="A253" s="19" t="s">
        <v>1</v>
      </c>
      <c r="B253" s="2" t="str">
        <f>"V-"&amp;Table3[[#This Row],[Ticket_ID]]</f>
        <v>V-352</v>
      </c>
      <c r="C253" s="24">
        <f>Table3[[#This Row],[Date_Opened]]</f>
        <v>45661</v>
      </c>
      <c r="D253" s="24">
        <f>Table3[[#This Row],[Date_Resolved]]</f>
        <v>45661</v>
      </c>
      <c r="E253" s="25">
        <v>433</v>
      </c>
      <c r="F253" s="9">
        <v>23</v>
      </c>
      <c r="G253" s="9">
        <f>Table6[[#This Row],[Quantity]]*Table6[[#This Row],[Unit Price]]</f>
        <v>9959</v>
      </c>
      <c r="H253" s="23" t="s">
        <v>42</v>
      </c>
      <c r="I253" s="23" t="s">
        <v>64</v>
      </c>
      <c r="J253" s="9" t="str">
        <f>IF(Table6[[#This Row],[Order_Status]]="Delivered","Resolved","Open")</f>
        <v>Resolved</v>
      </c>
    </row>
    <row r="254" spans="1:10" x14ac:dyDescent="0.2">
      <c r="A254" s="18" t="s">
        <v>2</v>
      </c>
      <c r="B254" s="2" t="str">
        <f>"V-"&amp;Table3[[#This Row],[Ticket_ID]]</f>
        <v>V-353</v>
      </c>
      <c r="C254" s="24">
        <f>Table3[[#This Row],[Date_Opened]]</f>
        <v>45674</v>
      </c>
      <c r="D254" s="24">
        <f>Table3[[#This Row],[Date_Resolved]]</f>
        <v>45678</v>
      </c>
      <c r="E254" s="25">
        <v>475</v>
      </c>
      <c r="F254" s="9">
        <v>21</v>
      </c>
      <c r="G254" s="9">
        <f>Table6[[#This Row],[Quantity]]*Table6[[#This Row],[Unit Price]]</f>
        <v>9975</v>
      </c>
      <c r="H254" s="23" t="s">
        <v>42</v>
      </c>
      <c r="I254" s="23" t="s">
        <v>64</v>
      </c>
      <c r="J254" s="9" t="str">
        <f>IF(Table6[[#This Row],[Order_Status]]="Delivered","Resolved","Open")</f>
        <v>Resolved</v>
      </c>
    </row>
    <row r="255" spans="1:10" x14ac:dyDescent="0.2">
      <c r="A255" s="19" t="s">
        <v>4</v>
      </c>
      <c r="B255" s="2" t="str">
        <f>"V-"&amp;Table3[[#This Row],[Ticket_ID]]</f>
        <v>V-354</v>
      </c>
      <c r="C255" s="24">
        <f>Table3[[#This Row],[Date_Opened]]</f>
        <v>45672</v>
      </c>
      <c r="D255" s="24">
        <f>Table3[[#This Row],[Date_Resolved]]</f>
        <v>45679</v>
      </c>
      <c r="E255" s="25">
        <v>306</v>
      </c>
      <c r="F255" s="9">
        <v>31</v>
      </c>
      <c r="G255" s="9">
        <f>Table6[[#This Row],[Quantity]]*Table6[[#This Row],[Unit Price]]</f>
        <v>9486</v>
      </c>
      <c r="H255" s="23" t="s">
        <v>40</v>
      </c>
      <c r="I255" s="23" t="s">
        <v>64</v>
      </c>
      <c r="J255" s="9" t="str">
        <f>IF(Table6[[#This Row],[Order_Status]]="Delivered","Resolved","Open")</f>
        <v>Resolved</v>
      </c>
    </row>
    <row r="256" spans="1:10" x14ac:dyDescent="0.2">
      <c r="A256" s="18" t="s">
        <v>21</v>
      </c>
      <c r="B256" s="2" t="str">
        <f>"V-"&amp;Table3[[#This Row],[Ticket_ID]]</f>
        <v>V-355</v>
      </c>
      <c r="C256" s="24">
        <f>Table3[[#This Row],[Date_Opened]]</f>
        <v>45677</v>
      </c>
      <c r="D256" s="24">
        <f>Table3[[#This Row],[Date_Resolved]]</f>
        <v>45682</v>
      </c>
      <c r="E256" s="25">
        <v>179</v>
      </c>
      <c r="F256" s="9">
        <v>24</v>
      </c>
      <c r="G256" s="9">
        <f>Table6[[#This Row],[Quantity]]*Table6[[#This Row],[Unit Price]]</f>
        <v>4296</v>
      </c>
      <c r="H256" s="23" t="s">
        <v>41</v>
      </c>
      <c r="I256" s="23" t="s">
        <v>64</v>
      </c>
      <c r="J256" s="9" t="str">
        <f>IF(Table6[[#This Row],[Order_Status]]="Delivered","Resolved","Open")</f>
        <v>Resolved</v>
      </c>
    </row>
    <row r="257" spans="1:10" x14ac:dyDescent="0.2">
      <c r="A257" s="19" t="s">
        <v>22</v>
      </c>
      <c r="B257" s="2" t="str">
        <f>"V-"&amp;Table3[[#This Row],[Ticket_ID]]</f>
        <v>V-356</v>
      </c>
      <c r="C257" s="24">
        <f>Table3[[#This Row],[Date_Opened]]</f>
        <v>45661</v>
      </c>
      <c r="D257" s="24">
        <f>Table3[[#This Row],[Date_Resolved]]</f>
        <v>45663</v>
      </c>
      <c r="E257" s="25">
        <v>355</v>
      </c>
      <c r="F257" s="9">
        <v>17</v>
      </c>
      <c r="G257" s="9">
        <f>Table6[[#This Row],[Quantity]]*Table6[[#This Row],[Unit Price]]</f>
        <v>6035</v>
      </c>
      <c r="H257" s="23" t="s">
        <v>42</v>
      </c>
      <c r="I257" s="23" t="s">
        <v>64</v>
      </c>
      <c r="J257" s="9" t="str">
        <f>IF(Table6[[#This Row],[Order_Status]]="Delivered","Resolved","Open")</f>
        <v>Resolved</v>
      </c>
    </row>
    <row r="258" spans="1:10" x14ac:dyDescent="0.2">
      <c r="A258" s="18" t="s">
        <v>23</v>
      </c>
      <c r="B258" s="2" t="str">
        <f>"V-"&amp;Table3[[#This Row],[Ticket_ID]]</f>
        <v>V-357</v>
      </c>
      <c r="C258" s="24">
        <f>Table3[[#This Row],[Date_Opened]]</f>
        <v>45686</v>
      </c>
      <c r="D258" s="24">
        <f>Table3[[#This Row],[Date_Resolved]]</f>
        <v>45691</v>
      </c>
      <c r="E258" s="25">
        <v>372</v>
      </c>
      <c r="F258" s="9">
        <v>8</v>
      </c>
      <c r="G258" s="9">
        <f>Table6[[#This Row],[Quantity]]*Table6[[#This Row],[Unit Price]]</f>
        <v>2976</v>
      </c>
      <c r="H258" s="23" t="s">
        <v>42</v>
      </c>
      <c r="I258" s="23" t="s">
        <v>64</v>
      </c>
      <c r="J258" s="9" t="str">
        <f>IF(Table6[[#This Row],[Order_Status]]="Delivered","Resolved","Open")</f>
        <v>Resolved</v>
      </c>
    </row>
    <row r="259" spans="1:10" x14ac:dyDescent="0.2">
      <c r="A259" s="19" t="s">
        <v>20</v>
      </c>
      <c r="B259" s="2" t="str">
        <f>"V-"&amp;Table3[[#This Row],[Ticket_ID]]</f>
        <v>V-358</v>
      </c>
      <c r="C259" s="24">
        <f>Table3[[#This Row],[Date_Opened]]</f>
        <v>45684</v>
      </c>
      <c r="D259" s="24">
        <f>Table3[[#This Row],[Date_Resolved]]</f>
        <v>45686</v>
      </c>
      <c r="E259" s="25">
        <v>390</v>
      </c>
      <c r="F259" s="9">
        <v>21</v>
      </c>
      <c r="G259" s="9">
        <f>Table6[[#This Row],[Quantity]]*Table6[[#This Row],[Unit Price]]</f>
        <v>8190</v>
      </c>
      <c r="H259" s="23" t="s">
        <v>42</v>
      </c>
      <c r="I259" s="23" t="s">
        <v>64</v>
      </c>
      <c r="J259" s="9" t="str">
        <f>IF(Table6[[#This Row],[Order_Status]]="Delivered","Resolved","Open")</f>
        <v>Resolved</v>
      </c>
    </row>
    <row r="260" spans="1:10" x14ac:dyDescent="0.2">
      <c r="A260" s="18" t="s">
        <v>2</v>
      </c>
      <c r="B260" s="2" t="str">
        <f>"V-"&amp;Table3[[#This Row],[Ticket_ID]]</f>
        <v>V-359</v>
      </c>
      <c r="C260" s="24">
        <f>Table3[[#This Row],[Date_Opened]]</f>
        <v>45680</v>
      </c>
      <c r="D260" s="24">
        <f>Table3[[#This Row],[Date_Resolved]]</f>
        <v>45684</v>
      </c>
      <c r="E260" s="25">
        <v>192</v>
      </c>
      <c r="F260" s="9">
        <v>34</v>
      </c>
      <c r="G260" s="9">
        <f>Table6[[#This Row],[Quantity]]*Table6[[#This Row],[Unit Price]]</f>
        <v>6528</v>
      </c>
      <c r="H260" s="23" t="s">
        <v>41</v>
      </c>
      <c r="I260" s="23" t="s">
        <v>64</v>
      </c>
      <c r="J260" s="9" t="str">
        <f>IF(Table6[[#This Row],[Order_Status]]="Delivered","Resolved","Open")</f>
        <v>Resolved</v>
      </c>
    </row>
    <row r="261" spans="1:10" x14ac:dyDescent="0.2">
      <c r="A261" s="19" t="s">
        <v>3</v>
      </c>
      <c r="B261" s="2" t="str">
        <f>"V-"&amp;Table3[[#This Row],[Ticket_ID]]</f>
        <v>V-360</v>
      </c>
      <c r="C261" s="24">
        <f>Table3[[#This Row],[Date_Opened]]</f>
        <v>45662</v>
      </c>
      <c r="D261" s="24">
        <f>Table3[[#This Row],[Date_Resolved]]</f>
        <v>45662</v>
      </c>
      <c r="E261" s="25">
        <v>198</v>
      </c>
      <c r="F261" s="9">
        <v>12</v>
      </c>
      <c r="G261" s="9">
        <f>Table6[[#This Row],[Quantity]]*Table6[[#This Row],[Unit Price]]</f>
        <v>2376</v>
      </c>
      <c r="H261" s="23" t="s">
        <v>43</v>
      </c>
      <c r="I261" s="23" t="s">
        <v>64</v>
      </c>
      <c r="J261" s="9" t="str">
        <f>IF(Table6[[#This Row],[Order_Status]]="Delivered","Resolved","Open")</f>
        <v>Resolved</v>
      </c>
    </row>
    <row r="262" spans="1:10" x14ac:dyDescent="0.2">
      <c r="A262" s="18" t="s">
        <v>3</v>
      </c>
      <c r="B262" s="2" t="str">
        <f>"V-"&amp;Table3[[#This Row],[Ticket_ID]]</f>
        <v>V-361</v>
      </c>
      <c r="C262" s="24">
        <f>Table3[[#This Row],[Date_Opened]]</f>
        <v>45677</v>
      </c>
      <c r="D262" s="24">
        <f>Table3[[#This Row],[Date_Resolved]]</f>
        <v>45680</v>
      </c>
      <c r="E262" s="25">
        <v>518</v>
      </c>
      <c r="F262" s="9">
        <v>95</v>
      </c>
      <c r="G262" s="9">
        <f>Table6[[#This Row],[Quantity]]*Table6[[#This Row],[Unit Price]]</f>
        <v>49210</v>
      </c>
      <c r="H262" s="23" t="s">
        <v>44</v>
      </c>
      <c r="I262" s="23" t="s">
        <v>64</v>
      </c>
      <c r="J262" s="9" t="str">
        <f>IF(Table6[[#This Row],[Order_Status]]="Delivered","Resolved","Open")</f>
        <v>Resolved</v>
      </c>
    </row>
    <row r="263" spans="1:10" x14ac:dyDescent="0.2">
      <c r="A263" s="19" t="s">
        <v>23</v>
      </c>
      <c r="B263" s="2" t="str">
        <f>"V-"&amp;Table3[[#This Row],[Ticket_ID]]</f>
        <v>V-362</v>
      </c>
      <c r="C263" s="24">
        <f>Table3[[#This Row],[Date_Opened]]</f>
        <v>45687</v>
      </c>
      <c r="D263" s="24">
        <f>Table3[[#This Row],[Date_Resolved]]</f>
        <v>45691</v>
      </c>
      <c r="E263" s="25">
        <v>332</v>
      </c>
      <c r="F263" s="9">
        <v>39</v>
      </c>
      <c r="G263" s="9">
        <f>Table6[[#This Row],[Quantity]]*Table6[[#This Row],[Unit Price]]</f>
        <v>12948</v>
      </c>
      <c r="H263" s="23" t="s">
        <v>43</v>
      </c>
      <c r="I263" s="23" t="s">
        <v>64</v>
      </c>
      <c r="J263" s="9" t="str">
        <f>IF(Table6[[#This Row],[Order_Status]]="Delivered","Resolved","Open")</f>
        <v>Resolved</v>
      </c>
    </row>
    <row r="264" spans="1:10" x14ac:dyDescent="0.2">
      <c r="A264" s="18" t="s">
        <v>1</v>
      </c>
      <c r="B264" s="2" t="str">
        <f>"V-"&amp;Table3[[#This Row],[Ticket_ID]]</f>
        <v>V-363</v>
      </c>
      <c r="C264" s="24">
        <f>Table3[[#This Row],[Date_Opened]]</f>
        <v>45667</v>
      </c>
      <c r="D264" s="24">
        <f>Table3[[#This Row],[Date_Resolved]]</f>
        <v>45673</v>
      </c>
      <c r="E264" s="25">
        <v>519</v>
      </c>
      <c r="F264" s="9">
        <v>84</v>
      </c>
      <c r="G264" s="9">
        <f>Table6[[#This Row],[Quantity]]*Table6[[#This Row],[Unit Price]]</f>
        <v>43596</v>
      </c>
      <c r="H264" s="23" t="s">
        <v>44</v>
      </c>
      <c r="I264" s="23" t="s">
        <v>64</v>
      </c>
      <c r="J264" s="9" t="str">
        <f>IF(Table6[[#This Row],[Order_Status]]="Delivered","Resolved","Open")</f>
        <v>Resolved</v>
      </c>
    </row>
    <row r="265" spans="1:10" x14ac:dyDescent="0.2">
      <c r="A265" s="19" t="s">
        <v>2</v>
      </c>
      <c r="B265" s="2" t="str">
        <f>"V-"&amp;Table3[[#This Row],[Ticket_ID]]</f>
        <v>V-364</v>
      </c>
      <c r="C265" s="24">
        <f>Table3[[#This Row],[Date_Opened]]</f>
        <v>45666</v>
      </c>
      <c r="D265" s="24">
        <f>Table3[[#This Row],[Date_Resolved]]</f>
        <v>45668</v>
      </c>
      <c r="E265" s="25">
        <v>445</v>
      </c>
      <c r="F265" s="9">
        <v>12</v>
      </c>
      <c r="G265" s="9">
        <f>Table6[[#This Row],[Quantity]]*Table6[[#This Row],[Unit Price]]</f>
        <v>5340</v>
      </c>
      <c r="H265" s="23" t="s">
        <v>42</v>
      </c>
      <c r="I265" s="23" t="s">
        <v>64</v>
      </c>
      <c r="J265" s="9" t="str">
        <f>IF(Table6[[#This Row],[Order_Status]]="Delivered","Resolved","Open")</f>
        <v>Resolved</v>
      </c>
    </row>
    <row r="266" spans="1:10" x14ac:dyDescent="0.2">
      <c r="A266" s="18" t="s">
        <v>1</v>
      </c>
      <c r="B266" s="2" t="str">
        <f>"V-"&amp;Table3[[#This Row],[Ticket_ID]]</f>
        <v>V-365</v>
      </c>
      <c r="C266" s="24">
        <f>Table3[[#This Row],[Date_Opened]]</f>
        <v>45687</v>
      </c>
      <c r="D266" s="24">
        <f>Table3[[#This Row],[Date_Resolved]]</f>
        <v>45692</v>
      </c>
      <c r="E266" s="25">
        <v>465</v>
      </c>
      <c r="F266" s="9">
        <v>12</v>
      </c>
      <c r="G266" s="9">
        <f>Table6[[#This Row],[Quantity]]*Table6[[#This Row],[Unit Price]]</f>
        <v>5580</v>
      </c>
      <c r="H266" s="23" t="s">
        <v>42</v>
      </c>
      <c r="I266" s="23" t="s">
        <v>64</v>
      </c>
      <c r="J266" s="9" t="str">
        <f>IF(Table6[[#This Row],[Order_Status]]="Delivered","Resolved","Open")</f>
        <v>Resolved</v>
      </c>
    </row>
    <row r="267" spans="1:10" x14ac:dyDescent="0.2">
      <c r="A267" s="19" t="s">
        <v>1</v>
      </c>
      <c r="B267" s="2" t="str">
        <f>"V-"&amp;Table3[[#This Row],[Ticket_ID]]</f>
        <v>V-366</v>
      </c>
      <c r="C267" s="24">
        <f>Table3[[#This Row],[Date_Opened]]</f>
        <v>45664</v>
      </c>
      <c r="D267" s="24">
        <f>Table3[[#This Row],[Date_Resolved]]</f>
        <v>45666</v>
      </c>
      <c r="E267" s="25">
        <v>216</v>
      </c>
      <c r="F267" s="9">
        <v>13</v>
      </c>
      <c r="G267" s="9">
        <f>Table6[[#This Row],[Quantity]]*Table6[[#This Row],[Unit Price]]</f>
        <v>2808</v>
      </c>
      <c r="H267" s="23" t="s">
        <v>41</v>
      </c>
      <c r="I267" s="23" t="s">
        <v>64</v>
      </c>
      <c r="J267" s="9" t="str">
        <f>IF(Table6[[#This Row],[Order_Status]]="Delivered","Resolved","Open")</f>
        <v>Resolved</v>
      </c>
    </row>
    <row r="268" spans="1:10" x14ac:dyDescent="0.2">
      <c r="A268" s="18" t="s">
        <v>1</v>
      </c>
      <c r="B268" s="2" t="str">
        <f>"V-"&amp;Table3[[#This Row],[Ticket_ID]]</f>
        <v>V-367</v>
      </c>
      <c r="C268" s="24">
        <f>Table3[[#This Row],[Date_Opened]]</f>
        <v>45676</v>
      </c>
      <c r="D268" s="24">
        <f>Table3[[#This Row],[Date_Resolved]]</f>
        <v>45682</v>
      </c>
      <c r="E268" s="25">
        <v>288</v>
      </c>
      <c r="F268" s="9">
        <v>5</v>
      </c>
      <c r="G268" s="9">
        <f>Table6[[#This Row],[Quantity]]*Table6[[#This Row],[Unit Price]]</f>
        <v>1440</v>
      </c>
      <c r="H268" s="23" t="s">
        <v>42</v>
      </c>
      <c r="I268" s="23" t="s">
        <v>64</v>
      </c>
      <c r="J268" s="9" t="str">
        <f>IF(Table6[[#This Row],[Order_Status]]="Delivered","Resolved","Open")</f>
        <v>Resolved</v>
      </c>
    </row>
    <row r="269" spans="1:10" x14ac:dyDescent="0.2">
      <c r="A269" s="19" t="s">
        <v>3</v>
      </c>
      <c r="B269" s="2" t="str">
        <f>"V-"&amp;Table3[[#This Row],[Ticket_ID]]</f>
        <v>V-368</v>
      </c>
      <c r="C269" s="24">
        <f>Table3[[#This Row],[Date_Opened]]</f>
        <v>45671</v>
      </c>
      <c r="D269" s="24">
        <f>Table3[[#This Row],[Date_Resolved]]</f>
        <v>45673</v>
      </c>
      <c r="E269" s="25">
        <v>237</v>
      </c>
      <c r="F269" s="9">
        <v>31</v>
      </c>
      <c r="G269" s="9">
        <f>Table6[[#This Row],[Quantity]]*Table6[[#This Row],[Unit Price]]</f>
        <v>7347</v>
      </c>
      <c r="H269" s="23" t="s">
        <v>41</v>
      </c>
      <c r="I269" s="23" t="s">
        <v>64</v>
      </c>
      <c r="J269" s="9" t="str">
        <f>IF(Table6[[#This Row],[Order_Status]]="Delivered","Resolved","Open")</f>
        <v>Resolved</v>
      </c>
    </row>
    <row r="270" spans="1:10" x14ac:dyDescent="0.2">
      <c r="A270" s="18" t="s">
        <v>23</v>
      </c>
      <c r="B270" s="2" t="str">
        <f>"V-"&amp;Table3[[#This Row],[Ticket_ID]]</f>
        <v>V-369</v>
      </c>
      <c r="C270" s="24">
        <f>Table3[[#This Row],[Date_Opened]]</f>
        <v>45667</v>
      </c>
      <c r="D270" s="24">
        <f>Table3[[#This Row],[Date_Resolved]]</f>
        <v>45672</v>
      </c>
      <c r="E270" s="25">
        <v>350</v>
      </c>
      <c r="F270" s="9">
        <v>6</v>
      </c>
      <c r="G270" s="9">
        <f>Table6[[#This Row],[Quantity]]*Table6[[#This Row],[Unit Price]]</f>
        <v>2100</v>
      </c>
      <c r="H270" s="23" t="s">
        <v>42</v>
      </c>
      <c r="I270" s="23" t="s">
        <v>64</v>
      </c>
      <c r="J270" s="9" t="str">
        <f>IF(Table6[[#This Row],[Order_Status]]="Delivered","Resolved","Open")</f>
        <v>Resolved</v>
      </c>
    </row>
    <row r="271" spans="1:10" x14ac:dyDescent="0.2">
      <c r="A271" s="19" t="s">
        <v>3</v>
      </c>
      <c r="B271" s="2" t="str">
        <f>"V-"&amp;Table3[[#This Row],[Ticket_ID]]</f>
        <v>V-370</v>
      </c>
      <c r="C271" s="24">
        <f>Table3[[#This Row],[Date_Opened]]</f>
        <v>45669</v>
      </c>
      <c r="D271" s="24">
        <f>Table3[[#This Row],[Date_Resolved]]</f>
        <v>45671</v>
      </c>
      <c r="E271" s="25">
        <v>472</v>
      </c>
      <c r="F271" s="9">
        <v>13</v>
      </c>
      <c r="G271" s="9">
        <f>Table6[[#This Row],[Quantity]]*Table6[[#This Row],[Unit Price]]</f>
        <v>6136</v>
      </c>
      <c r="H271" s="23" t="s">
        <v>42</v>
      </c>
      <c r="I271" s="23" t="s">
        <v>64</v>
      </c>
      <c r="J271" s="9" t="str">
        <f>IF(Table6[[#This Row],[Order_Status]]="Delivered","Resolved","Open")</f>
        <v>Resolved</v>
      </c>
    </row>
    <row r="272" spans="1:10" x14ac:dyDescent="0.2">
      <c r="A272" s="18" t="s">
        <v>2</v>
      </c>
      <c r="B272" s="2" t="str">
        <f>"V-"&amp;Table3[[#This Row],[Ticket_ID]]</f>
        <v>V-371</v>
      </c>
      <c r="C272" s="24">
        <f>Table3[[#This Row],[Date_Opened]]</f>
        <v>45687</v>
      </c>
      <c r="D272" s="24">
        <f>Table3[[#This Row],[Date_Resolved]]</f>
        <v>45690</v>
      </c>
      <c r="E272" s="25">
        <v>356</v>
      </c>
      <c r="F272" s="9">
        <v>92</v>
      </c>
      <c r="G272" s="9">
        <f>Table6[[#This Row],[Quantity]]*Table6[[#This Row],[Unit Price]]</f>
        <v>32752</v>
      </c>
      <c r="H272" s="23" t="s">
        <v>44</v>
      </c>
      <c r="I272" s="23" t="s">
        <v>64</v>
      </c>
      <c r="J272" s="9" t="str">
        <f>IF(Table6[[#This Row],[Order_Status]]="Delivered","Resolved","Open")</f>
        <v>Resolved</v>
      </c>
    </row>
    <row r="273" spans="1:10" x14ac:dyDescent="0.2">
      <c r="A273" s="19" t="s">
        <v>22</v>
      </c>
      <c r="B273" s="2" t="str">
        <f>"V-"&amp;Table3[[#This Row],[Ticket_ID]]</f>
        <v>V-372</v>
      </c>
      <c r="C273" s="24">
        <f>Table3[[#This Row],[Date_Opened]]</f>
        <v>45682</v>
      </c>
      <c r="D273" s="24">
        <f>Table3[[#This Row],[Date_Resolved]]</f>
        <v>45688</v>
      </c>
      <c r="E273" s="25">
        <v>380</v>
      </c>
      <c r="F273" s="9">
        <v>40</v>
      </c>
      <c r="G273" s="9">
        <f>Table6[[#This Row],[Quantity]]*Table6[[#This Row],[Unit Price]]</f>
        <v>15200</v>
      </c>
      <c r="H273" s="23" t="s">
        <v>44</v>
      </c>
      <c r="I273" s="23" t="s">
        <v>64</v>
      </c>
      <c r="J273" s="9" t="str">
        <f>IF(Table6[[#This Row],[Order_Status]]="Delivered","Resolved","Open")</f>
        <v>Resolved</v>
      </c>
    </row>
    <row r="274" spans="1:10" x14ac:dyDescent="0.2">
      <c r="A274" s="18" t="s">
        <v>1</v>
      </c>
      <c r="B274" s="2" t="str">
        <f>"V-"&amp;Table3[[#This Row],[Ticket_ID]]</f>
        <v>V-373</v>
      </c>
      <c r="C274" s="24">
        <f>Table3[[#This Row],[Date_Opened]]</f>
        <v>45662</v>
      </c>
      <c r="D274" s="24">
        <f>Table3[[#This Row],[Date_Resolved]]</f>
        <v>45668</v>
      </c>
      <c r="E274" s="25">
        <v>258</v>
      </c>
      <c r="F274" s="9">
        <v>17</v>
      </c>
      <c r="G274" s="9">
        <f>Table6[[#This Row],[Quantity]]*Table6[[#This Row],[Unit Price]]</f>
        <v>4386</v>
      </c>
      <c r="H274" s="23" t="s">
        <v>42</v>
      </c>
      <c r="I274" s="23" t="s">
        <v>64</v>
      </c>
      <c r="J274" s="9" t="str">
        <f>IF(Table6[[#This Row],[Order_Status]]="Delivered","Resolved","Open")</f>
        <v>Resolved</v>
      </c>
    </row>
    <row r="275" spans="1:10" x14ac:dyDescent="0.2">
      <c r="A275" s="19" t="s">
        <v>22</v>
      </c>
      <c r="B275" s="2" t="str">
        <f>"V-"&amp;Table3[[#This Row],[Ticket_ID]]</f>
        <v>V-374</v>
      </c>
      <c r="C275" s="24">
        <f>Table3[[#This Row],[Date_Opened]]</f>
        <v>45666</v>
      </c>
      <c r="D275" s="24">
        <f>Table3[[#This Row],[Date_Resolved]]</f>
        <v>45672</v>
      </c>
      <c r="E275" s="25">
        <v>282</v>
      </c>
      <c r="F275" s="9">
        <v>25</v>
      </c>
      <c r="G275" s="9">
        <f>Table6[[#This Row],[Quantity]]*Table6[[#This Row],[Unit Price]]</f>
        <v>7050</v>
      </c>
      <c r="H275" s="23" t="s">
        <v>43</v>
      </c>
      <c r="I275" s="23" t="s">
        <v>64</v>
      </c>
      <c r="J275" s="9" t="str">
        <f>IF(Table6[[#This Row],[Order_Status]]="Delivered","Resolved","Open")</f>
        <v>Resolved</v>
      </c>
    </row>
    <row r="276" spans="1:10" x14ac:dyDescent="0.2">
      <c r="A276" s="18" t="s">
        <v>21</v>
      </c>
      <c r="B276" s="2" t="str">
        <f>"V-"&amp;Table3[[#This Row],[Ticket_ID]]</f>
        <v>V-375</v>
      </c>
      <c r="C276" s="24">
        <f>Table3[[#This Row],[Date_Opened]]</f>
        <v>45673</v>
      </c>
      <c r="D276" s="24">
        <f>Table3[[#This Row],[Date_Resolved]]</f>
        <v>45679</v>
      </c>
      <c r="E276" s="25">
        <v>401</v>
      </c>
      <c r="F276" s="9">
        <v>16</v>
      </c>
      <c r="G276" s="9">
        <f>Table6[[#This Row],[Quantity]]*Table6[[#This Row],[Unit Price]]</f>
        <v>6416</v>
      </c>
      <c r="H276" s="23" t="s">
        <v>44</v>
      </c>
      <c r="I276" s="23" t="s">
        <v>64</v>
      </c>
      <c r="J276" s="9" t="str">
        <f>IF(Table6[[#This Row],[Order_Status]]="Delivered","Resolved","Open")</f>
        <v>Resolved</v>
      </c>
    </row>
    <row r="277" spans="1:10" x14ac:dyDescent="0.2">
      <c r="A277" s="19" t="s">
        <v>4</v>
      </c>
      <c r="B277" s="2" t="str">
        <f>"V-"&amp;Table3[[#This Row],[Ticket_ID]]</f>
        <v>V-376</v>
      </c>
      <c r="C277" s="24">
        <f>Table3[[#This Row],[Date_Opened]]</f>
        <v>45688</v>
      </c>
      <c r="D277" s="24">
        <f>Table3[[#This Row],[Date_Resolved]]</f>
        <v>45692</v>
      </c>
      <c r="E277" s="25">
        <v>187</v>
      </c>
      <c r="F277" s="9">
        <v>20</v>
      </c>
      <c r="G277" s="9">
        <f>Table6[[#This Row],[Quantity]]*Table6[[#This Row],[Unit Price]]</f>
        <v>3740</v>
      </c>
      <c r="H277" s="23" t="s">
        <v>40</v>
      </c>
      <c r="I277" s="23" t="s">
        <v>64</v>
      </c>
      <c r="J277" s="9" t="str">
        <f>IF(Table6[[#This Row],[Order_Status]]="Delivered","Resolved","Open")</f>
        <v>Resolved</v>
      </c>
    </row>
    <row r="278" spans="1:10" x14ac:dyDescent="0.2">
      <c r="A278" s="18" t="s">
        <v>4</v>
      </c>
      <c r="B278" s="2" t="str">
        <f>"V-"&amp;Table3[[#This Row],[Ticket_ID]]</f>
        <v>V-377</v>
      </c>
      <c r="C278" s="24">
        <f>Table3[[#This Row],[Date_Opened]]</f>
        <v>45684</v>
      </c>
      <c r="D278" s="24">
        <f>Table3[[#This Row],[Date_Resolved]]</f>
        <v>45687</v>
      </c>
      <c r="E278" s="25">
        <v>326</v>
      </c>
      <c r="F278" s="9">
        <v>10</v>
      </c>
      <c r="G278" s="9">
        <f>Table6[[#This Row],[Quantity]]*Table6[[#This Row],[Unit Price]]</f>
        <v>3260</v>
      </c>
      <c r="H278" s="23" t="s">
        <v>42</v>
      </c>
      <c r="I278" s="23" t="s">
        <v>64</v>
      </c>
      <c r="J278" s="9" t="str">
        <f>IF(Table6[[#This Row],[Order_Status]]="Delivered","Resolved","Open")</f>
        <v>Resolved</v>
      </c>
    </row>
    <row r="279" spans="1:10" x14ac:dyDescent="0.2">
      <c r="A279" s="19" t="s">
        <v>21</v>
      </c>
      <c r="B279" s="2" t="str">
        <f>"V-"&amp;Table3[[#This Row],[Ticket_ID]]</f>
        <v>V-378</v>
      </c>
      <c r="C279" s="24">
        <f>Table3[[#This Row],[Date_Opened]]</f>
        <v>45686</v>
      </c>
      <c r="D279" s="24">
        <f>Table3[[#This Row],[Date_Resolved]]</f>
        <v>45693</v>
      </c>
      <c r="E279" s="25">
        <v>250</v>
      </c>
      <c r="F279" s="9">
        <v>6</v>
      </c>
      <c r="G279" s="9">
        <f>Table6[[#This Row],[Quantity]]*Table6[[#This Row],[Unit Price]]</f>
        <v>1500</v>
      </c>
      <c r="H279" s="23" t="s">
        <v>43</v>
      </c>
      <c r="I279" s="23" t="s">
        <v>64</v>
      </c>
      <c r="J279" s="9" t="str">
        <f>IF(Table6[[#This Row],[Order_Status]]="Delivered","Resolved","Open")</f>
        <v>Resolved</v>
      </c>
    </row>
    <row r="280" spans="1:10" x14ac:dyDescent="0.2">
      <c r="A280" s="18" t="s">
        <v>1</v>
      </c>
      <c r="B280" s="2" t="str">
        <f>"V-"&amp;Table3[[#This Row],[Ticket_ID]]</f>
        <v>V-379</v>
      </c>
      <c r="C280" s="24">
        <f>Table3[[#This Row],[Date_Opened]]</f>
        <v>45663</v>
      </c>
      <c r="D280" s="24">
        <f>Table3[[#This Row],[Date_Resolved]]</f>
        <v>45670</v>
      </c>
      <c r="E280" s="25">
        <v>351</v>
      </c>
      <c r="F280" s="9">
        <v>47</v>
      </c>
      <c r="G280" s="9">
        <f>Table6[[#This Row],[Quantity]]*Table6[[#This Row],[Unit Price]]</f>
        <v>16497</v>
      </c>
      <c r="H280" s="23" t="s">
        <v>44</v>
      </c>
      <c r="I280" s="23" t="s">
        <v>64</v>
      </c>
      <c r="J280" s="9" t="str">
        <f>IF(Table6[[#This Row],[Order_Status]]="Delivered","Resolved","Open")</f>
        <v>Resolved</v>
      </c>
    </row>
    <row r="281" spans="1:10" x14ac:dyDescent="0.2">
      <c r="A281" s="19" t="s">
        <v>21</v>
      </c>
      <c r="B281" s="2" t="str">
        <f>"V-"&amp;Table3[[#This Row],[Ticket_ID]]</f>
        <v>V-380</v>
      </c>
      <c r="C281" s="24">
        <f>Table3[[#This Row],[Date_Opened]]</f>
        <v>45659</v>
      </c>
      <c r="D281" s="24">
        <f>Table3[[#This Row],[Date_Resolved]]</f>
        <v>45662</v>
      </c>
      <c r="E281" s="25">
        <v>251</v>
      </c>
      <c r="F281" s="9">
        <v>9</v>
      </c>
      <c r="G281" s="9">
        <f>Table6[[#This Row],[Quantity]]*Table6[[#This Row],[Unit Price]]</f>
        <v>2259</v>
      </c>
      <c r="H281" s="23" t="s">
        <v>42</v>
      </c>
      <c r="I281" s="23" t="s">
        <v>67</v>
      </c>
      <c r="J281" s="9" t="str">
        <f>IF(Table6[[#This Row],[Order_Status]]="Delivered","Resolved","Open")</f>
        <v>Open</v>
      </c>
    </row>
    <row r="282" spans="1:10" x14ac:dyDescent="0.2">
      <c r="A282" s="18" t="s">
        <v>4</v>
      </c>
      <c r="B282" s="2" t="str">
        <f>"V-"&amp;Table3[[#This Row],[Ticket_ID]]</f>
        <v>V-381</v>
      </c>
      <c r="C282" s="24">
        <f>Table3[[#This Row],[Date_Opened]]</f>
        <v>45661</v>
      </c>
      <c r="D282" s="24">
        <f>Table3[[#This Row],[Date_Resolved]]</f>
        <v>45666</v>
      </c>
      <c r="E282" s="25">
        <v>127</v>
      </c>
      <c r="F282" s="9">
        <v>44</v>
      </c>
      <c r="G282" s="9">
        <f>Table6[[#This Row],[Quantity]]*Table6[[#This Row],[Unit Price]]</f>
        <v>5588</v>
      </c>
      <c r="H282" s="23" t="s">
        <v>40</v>
      </c>
      <c r="I282" s="23" t="s">
        <v>64</v>
      </c>
      <c r="J282" s="9" t="str">
        <f>IF(Table6[[#This Row],[Order_Status]]="Delivered","Resolved","Open")</f>
        <v>Resolved</v>
      </c>
    </row>
    <row r="283" spans="1:10" x14ac:dyDescent="0.2">
      <c r="A283" s="19" t="s">
        <v>20</v>
      </c>
      <c r="B283" s="2" t="str">
        <f>"V-"&amp;Table3[[#This Row],[Ticket_ID]]</f>
        <v>V-382</v>
      </c>
      <c r="C283" s="24">
        <f>Table3[[#This Row],[Date_Opened]]</f>
        <v>45661</v>
      </c>
      <c r="D283" s="24">
        <f>Table3[[#This Row],[Date_Resolved]]</f>
        <v>45667</v>
      </c>
      <c r="E283" s="25">
        <v>484</v>
      </c>
      <c r="F283" s="9">
        <v>7</v>
      </c>
      <c r="G283" s="9">
        <f>Table6[[#This Row],[Quantity]]*Table6[[#This Row],[Unit Price]]</f>
        <v>3388</v>
      </c>
      <c r="H283" s="23" t="s">
        <v>42</v>
      </c>
      <c r="I283" s="23" t="s">
        <v>64</v>
      </c>
      <c r="J283" s="9" t="str">
        <f>IF(Table6[[#This Row],[Order_Status]]="Delivered","Resolved","Open")</f>
        <v>Resolved</v>
      </c>
    </row>
    <row r="284" spans="1:10" x14ac:dyDescent="0.2">
      <c r="A284" s="18" t="s">
        <v>23</v>
      </c>
      <c r="B284" s="2" t="str">
        <f>"V-"&amp;Table3[[#This Row],[Ticket_ID]]</f>
        <v>V-383</v>
      </c>
      <c r="C284" s="24">
        <f>Table3[[#This Row],[Date_Opened]]</f>
        <v>45688</v>
      </c>
      <c r="D284" s="24">
        <f>Table3[[#This Row],[Date_Resolved]]</f>
        <v>45691</v>
      </c>
      <c r="E284" s="25">
        <v>189</v>
      </c>
      <c r="F284" s="9">
        <v>16</v>
      </c>
      <c r="G284" s="9">
        <f>Table6[[#This Row],[Quantity]]*Table6[[#This Row],[Unit Price]]</f>
        <v>3024</v>
      </c>
      <c r="H284" s="23" t="s">
        <v>40</v>
      </c>
      <c r="I284" s="23" t="s">
        <v>64</v>
      </c>
      <c r="J284" s="9" t="str">
        <f>IF(Table6[[#This Row],[Order_Status]]="Delivered","Resolved","Open")</f>
        <v>Resolved</v>
      </c>
    </row>
    <row r="285" spans="1:10" x14ac:dyDescent="0.2">
      <c r="A285" s="19" t="s">
        <v>20</v>
      </c>
      <c r="B285" s="2" t="str">
        <f>"V-"&amp;Table3[[#This Row],[Ticket_ID]]</f>
        <v>V-384</v>
      </c>
      <c r="C285" s="24">
        <f>Table3[[#This Row],[Date_Opened]]</f>
        <v>45666</v>
      </c>
      <c r="D285" s="24">
        <f>Table3[[#This Row],[Date_Resolved]]</f>
        <v>45673</v>
      </c>
      <c r="E285" s="25">
        <v>304</v>
      </c>
      <c r="F285" s="9">
        <v>8</v>
      </c>
      <c r="G285" s="9">
        <f>Table6[[#This Row],[Quantity]]*Table6[[#This Row],[Unit Price]]</f>
        <v>2432</v>
      </c>
      <c r="H285" s="23" t="s">
        <v>43</v>
      </c>
      <c r="I285" s="23" t="s">
        <v>64</v>
      </c>
      <c r="J285" s="9" t="str">
        <f>IF(Table6[[#This Row],[Order_Status]]="Delivered","Resolved","Open")</f>
        <v>Resolved</v>
      </c>
    </row>
    <row r="286" spans="1:10" x14ac:dyDescent="0.2">
      <c r="A286" s="18" t="s">
        <v>22</v>
      </c>
      <c r="B286" s="2" t="str">
        <f>"V-"&amp;Table3[[#This Row],[Ticket_ID]]</f>
        <v>V-385</v>
      </c>
      <c r="C286" s="24">
        <f>Table3[[#This Row],[Date_Opened]]</f>
        <v>45686</v>
      </c>
      <c r="D286" s="24">
        <f>Table3[[#This Row],[Date_Resolved]]</f>
        <v>45692</v>
      </c>
      <c r="E286" s="25">
        <v>166</v>
      </c>
      <c r="F286" s="9">
        <v>45</v>
      </c>
      <c r="G286" s="9">
        <f>Table6[[#This Row],[Quantity]]*Table6[[#This Row],[Unit Price]]</f>
        <v>7470</v>
      </c>
      <c r="H286" s="23" t="s">
        <v>40</v>
      </c>
      <c r="I286" s="23" t="s">
        <v>64</v>
      </c>
      <c r="J286" s="9" t="str">
        <f>IF(Table6[[#This Row],[Order_Status]]="Delivered","Resolved","Open")</f>
        <v>Resolved</v>
      </c>
    </row>
    <row r="287" spans="1:10" x14ac:dyDescent="0.2">
      <c r="A287" s="19" t="s">
        <v>2</v>
      </c>
      <c r="B287" s="2" t="str">
        <f>"V-"&amp;Table3[[#This Row],[Ticket_ID]]</f>
        <v>V-386</v>
      </c>
      <c r="C287" s="24">
        <f>Table3[[#This Row],[Date_Opened]]</f>
        <v>45669</v>
      </c>
      <c r="D287" s="24">
        <f>Table3[[#This Row],[Date_Resolved]]</f>
        <v>45674</v>
      </c>
      <c r="E287" s="25">
        <v>239</v>
      </c>
      <c r="F287" s="9">
        <v>7</v>
      </c>
      <c r="G287" s="9">
        <f>Table6[[#This Row],[Quantity]]*Table6[[#This Row],[Unit Price]]</f>
        <v>1673</v>
      </c>
      <c r="H287" s="23" t="s">
        <v>41</v>
      </c>
      <c r="I287" s="23" t="s">
        <v>64</v>
      </c>
      <c r="J287" s="9" t="str">
        <f>IF(Table6[[#This Row],[Order_Status]]="Delivered","Resolved","Open")</f>
        <v>Resolved</v>
      </c>
    </row>
    <row r="288" spans="1:10" x14ac:dyDescent="0.2">
      <c r="A288" s="18" t="s">
        <v>2</v>
      </c>
      <c r="B288" s="2" t="str">
        <f>"V-"&amp;Table3[[#This Row],[Ticket_ID]]</f>
        <v>V-387</v>
      </c>
      <c r="C288" s="24">
        <f>Table3[[#This Row],[Date_Opened]]</f>
        <v>45666</v>
      </c>
      <c r="D288" s="24">
        <f>Table3[[#This Row],[Date_Resolved]]</f>
        <v>45671</v>
      </c>
      <c r="E288" s="25">
        <v>344</v>
      </c>
      <c r="F288" s="9">
        <v>85</v>
      </c>
      <c r="G288" s="9">
        <f>Table6[[#This Row],[Quantity]]*Table6[[#This Row],[Unit Price]]</f>
        <v>29240</v>
      </c>
      <c r="H288" s="23" t="s">
        <v>44</v>
      </c>
      <c r="I288" s="23" t="s">
        <v>64</v>
      </c>
      <c r="J288" s="9" t="str">
        <f>IF(Table6[[#This Row],[Order_Status]]="Delivered","Resolved","Open")</f>
        <v>Resolved</v>
      </c>
    </row>
    <row r="289" spans="1:10" x14ac:dyDescent="0.2">
      <c r="A289" s="19" t="s">
        <v>2</v>
      </c>
      <c r="B289" s="2" t="str">
        <f>"V-"&amp;Table3[[#This Row],[Ticket_ID]]</f>
        <v>V-388</v>
      </c>
      <c r="C289" s="24">
        <f>Table3[[#This Row],[Date_Opened]]</f>
        <v>45688</v>
      </c>
      <c r="D289" s="24">
        <f>Table3[[#This Row],[Date_Resolved]]</f>
        <v>45691</v>
      </c>
      <c r="E289" s="25">
        <v>242</v>
      </c>
      <c r="F289" s="9">
        <v>32</v>
      </c>
      <c r="G289" s="9">
        <f>Table6[[#This Row],[Quantity]]*Table6[[#This Row],[Unit Price]]</f>
        <v>7744</v>
      </c>
      <c r="H289" s="23" t="s">
        <v>40</v>
      </c>
      <c r="I289" s="23" t="s">
        <v>64</v>
      </c>
      <c r="J289" s="9" t="str">
        <f>IF(Table6[[#This Row],[Order_Status]]="Delivered","Resolved","Open")</f>
        <v>Resolved</v>
      </c>
    </row>
    <row r="290" spans="1:10" x14ac:dyDescent="0.2">
      <c r="A290" s="18" t="s">
        <v>22</v>
      </c>
      <c r="B290" s="2" t="str">
        <f>"V-"&amp;Table3[[#This Row],[Ticket_ID]]</f>
        <v>V-389</v>
      </c>
      <c r="C290" s="24">
        <f>Table3[[#This Row],[Date_Opened]]</f>
        <v>45677</v>
      </c>
      <c r="D290" s="24">
        <f>Table3[[#This Row],[Date_Resolved]]</f>
        <v>45680</v>
      </c>
      <c r="E290" s="25">
        <v>159</v>
      </c>
      <c r="F290" s="9">
        <v>14</v>
      </c>
      <c r="G290" s="9">
        <f>Table6[[#This Row],[Quantity]]*Table6[[#This Row],[Unit Price]]</f>
        <v>2226</v>
      </c>
      <c r="H290" s="23" t="s">
        <v>40</v>
      </c>
      <c r="I290" s="23" t="s">
        <v>64</v>
      </c>
      <c r="J290" s="9" t="str">
        <f>IF(Table6[[#This Row],[Order_Status]]="Delivered","Resolved","Open")</f>
        <v>Resolved</v>
      </c>
    </row>
    <row r="291" spans="1:10" x14ac:dyDescent="0.2">
      <c r="A291" s="19" t="s">
        <v>2</v>
      </c>
      <c r="B291" s="2" t="str">
        <f>"V-"&amp;Table3[[#This Row],[Ticket_ID]]</f>
        <v>V-390</v>
      </c>
      <c r="C291" s="24">
        <f>Table3[[#This Row],[Date_Opened]]</f>
        <v>45661</v>
      </c>
      <c r="D291" s="24">
        <f>Table3[[#This Row],[Date_Resolved]]</f>
        <v>45667</v>
      </c>
      <c r="E291" s="25">
        <v>219</v>
      </c>
      <c r="F291" s="9">
        <v>37</v>
      </c>
      <c r="G291" s="9">
        <f>Table6[[#This Row],[Quantity]]*Table6[[#This Row],[Unit Price]]</f>
        <v>8103</v>
      </c>
      <c r="H291" s="23" t="s">
        <v>43</v>
      </c>
      <c r="I291" s="23" t="s">
        <v>64</v>
      </c>
      <c r="J291" s="9" t="str">
        <f>IF(Table6[[#This Row],[Order_Status]]="Delivered","Resolved","Open")</f>
        <v>Resolved</v>
      </c>
    </row>
    <row r="292" spans="1:10" x14ac:dyDescent="0.2">
      <c r="A292" s="18" t="s">
        <v>2</v>
      </c>
      <c r="B292" s="2" t="str">
        <f>"V-"&amp;Table3[[#This Row],[Ticket_ID]]</f>
        <v>V-391</v>
      </c>
      <c r="C292" s="24">
        <f>Table3[[#This Row],[Date_Opened]]</f>
        <v>45680</v>
      </c>
      <c r="D292" s="24">
        <f>Table3[[#This Row],[Date_Resolved]]</f>
        <v>45680</v>
      </c>
      <c r="E292" s="25">
        <v>262</v>
      </c>
      <c r="F292" s="9">
        <v>35</v>
      </c>
      <c r="G292" s="9">
        <f>Table6[[#This Row],[Quantity]]*Table6[[#This Row],[Unit Price]]</f>
        <v>9170</v>
      </c>
      <c r="H292" s="23" t="s">
        <v>40</v>
      </c>
      <c r="I292" s="23" t="s">
        <v>64</v>
      </c>
      <c r="J292" s="9" t="str">
        <f>IF(Table6[[#This Row],[Order_Status]]="Delivered","Resolved","Open")</f>
        <v>Resolved</v>
      </c>
    </row>
    <row r="293" spans="1:10" x14ac:dyDescent="0.2">
      <c r="A293" s="19" t="s">
        <v>3</v>
      </c>
      <c r="B293" s="2" t="str">
        <f>"V-"&amp;Table3[[#This Row],[Ticket_ID]]</f>
        <v>V-392</v>
      </c>
      <c r="C293" s="24">
        <f>Table3[[#This Row],[Date_Opened]]</f>
        <v>45682</v>
      </c>
      <c r="D293" s="24">
        <f>Table3[[#This Row],[Date_Resolved]]</f>
        <v>45685</v>
      </c>
      <c r="E293" s="25">
        <v>429</v>
      </c>
      <c r="F293" s="9">
        <v>34</v>
      </c>
      <c r="G293" s="9">
        <f>Table6[[#This Row],[Quantity]]*Table6[[#This Row],[Unit Price]]</f>
        <v>14586</v>
      </c>
      <c r="H293" s="23" t="s">
        <v>44</v>
      </c>
      <c r="I293" s="23" t="s">
        <v>64</v>
      </c>
      <c r="J293" s="9" t="str">
        <f>IF(Table6[[#This Row],[Order_Status]]="Delivered","Resolved","Open")</f>
        <v>Resolved</v>
      </c>
    </row>
    <row r="294" spans="1:10" x14ac:dyDescent="0.2">
      <c r="A294" s="18" t="s">
        <v>21</v>
      </c>
      <c r="B294" s="2" t="str">
        <f>"V-"&amp;Table3[[#This Row],[Ticket_ID]]</f>
        <v>V-393</v>
      </c>
      <c r="C294" s="24">
        <f>Table3[[#This Row],[Date_Opened]]</f>
        <v>45688</v>
      </c>
      <c r="D294" s="24">
        <f>Table3[[#This Row],[Date_Resolved]]</f>
        <v>45690</v>
      </c>
      <c r="E294" s="25">
        <v>313</v>
      </c>
      <c r="F294" s="9">
        <v>11</v>
      </c>
      <c r="G294" s="9">
        <f>Table6[[#This Row],[Quantity]]*Table6[[#This Row],[Unit Price]]</f>
        <v>3443</v>
      </c>
      <c r="H294" s="23" t="s">
        <v>40</v>
      </c>
      <c r="I294" s="23" t="s">
        <v>64</v>
      </c>
      <c r="J294" s="9" t="str">
        <f>IF(Table6[[#This Row],[Order_Status]]="Delivered","Resolved","Open")</f>
        <v>Resolved</v>
      </c>
    </row>
    <row r="295" spans="1:10" x14ac:dyDescent="0.2">
      <c r="A295" s="19" t="s">
        <v>1</v>
      </c>
      <c r="B295" s="2" t="str">
        <f>"V-"&amp;Table3[[#This Row],[Ticket_ID]]</f>
        <v>V-394</v>
      </c>
      <c r="C295" s="24">
        <f>Table3[[#This Row],[Date_Opened]]</f>
        <v>45665</v>
      </c>
      <c r="D295" s="24">
        <f>Table3[[#This Row],[Date_Resolved]]</f>
        <v>45671</v>
      </c>
      <c r="E295" s="25">
        <v>316</v>
      </c>
      <c r="F295" s="9">
        <v>16</v>
      </c>
      <c r="G295" s="9">
        <f>Table6[[#This Row],[Quantity]]*Table6[[#This Row],[Unit Price]]</f>
        <v>5056</v>
      </c>
      <c r="H295" s="23" t="s">
        <v>42</v>
      </c>
      <c r="I295" s="23" t="s">
        <v>64</v>
      </c>
      <c r="J295" s="9" t="str">
        <f>IF(Table6[[#This Row],[Order_Status]]="Delivered","Resolved","Open")</f>
        <v>Resolved</v>
      </c>
    </row>
    <row r="296" spans="1:10" x14ac:dyDescent="0.2">
      <c r="A296" s="18" t="s">
        <v>4</v>
      </c>
      <c r="B296" s="2" t="str">
        <f>"V-"&amp;Table3[[#This Row],[Ticket_ID]]</f>
        <v>V-395</v>
      </c>
      <c r="C296" s="24">
        <f>Table3[[#This Row],[Date_Opened]]</f>
        <v>45678</v>
      </c>
      <c r="D296" s="24">
        <f>Table3[[#This Row],[Date_Resolved]]</f>
        <v>45684</v>
      </c>
      <c r="E296" s="25">
        <v>194</v>
      </c>
      <c r="F296" s="9">
        <v>13</v>
      </c>
      <c r="G296" s="9">
        <f>Table6[[#This Row],[Quantity]]*Table6[[#This Row],[Unit Price]]</f>
        <v>2522</v>
      </c>
      <c r="H296" s="23" t="s">
        <v>43</v>
      </c>
      <c r="I296" s="23" t="s">
        <v>64</v>
      </c>
      <c r="J296" s="9" t="str">
        <f>IF(Table6[[#This Row],[Order_Status]]="Delivered","Resolved","Open")</f>
        <v>Resolved</v>
      </c>
    </row>
    <row r="297" spans="1:10" x14ac:dyDescent="0.2">
      <c r="A297" s="19" t="s">
        <v>23</v>
      </c>
      <c r="B297" s="2" t="str">
        <f>"V-"&amp;Table3[[#This Row],[Ticket_ID]]</f>
        <v>V-396</v>
      </c>
      <c r="C297" s="24">
        <f>Table3[[#This Row],[Date_Opened]]</f>
        <v>45672</v>
      </c>
      <c r="D297" s="24">
        <f>Table3[[#This Row],[Date_Resolved]]</f>
        <v>45676</v>
      </c>
      <c r="E297" s="25">
        <v>509</v>
      </c>
      <c r="F297" s="9">
        <v>89</v>
      </c>
      <c r="G297" s="9">
        <f>Table6[[#This Row],[Quantity]]*Table6[[#This Row],[Unit Price]]</f>
        <v>45301</v>
      </c>
      <c r="H297" s="23" t="s">
        <v>44</v>
      </c>
      <c r="I297" s="23" t="s">
        <v>64</v>
      </c>
      <c r="J297" s="9" t="str">
        <f>IF(Table6[[#This Row],[Order_Status]]="Delivered","Resolved","Open")</f>
        <v>Resolved</v>
      </c>
    </row>
    <row r="298" spans="1:10" x14ac:dyDescent="0.2">
      <c r="A298" s="18" t="s">
        <v>23</v>
      </c>
      <c r="B298" s="2" t="str">
        <f>"V-"&amp;Table3[[#This Row],[Ticket_ID]]</f>
        <v>V-397</v>
      </c>
      <c r="C298" s="24">
        <f>Table3[[#This Row],[Date_Opened]]</f>
        <v>45683</v>
      </c>
      <c r="D298" s="24">
        <f>Table3[[#This Row],[Date_Resolved]]</f>
        <v>45686</v>
      </c>
      <c r="E298" s="25">
        <v>392</v>
      </c>
      <c r="F298" s="9">
        <v>85</v>
      </c>
      <c r="G298" s="9">
        <f>Table6[[#This Row],[Quantity]]*Table6[[#This Row],[Unit Price]]</f>
        <v>33320</v>
      </c>
      <c r="H298" s="23" t="s">
        <v>44</v>
      </c>
      <c r="I298" s="23" t="s">
        <v>64</v>
      </c>
      <c r="J298" s="9" t="str">
        <f>IF(Table6[[#This Row],[Order_Status]]="Delivered","Resolved","Open")</f>
        <v>Resolved</v>
      </c>
    </row>
    <row r="299" spans="1:10" x14ac:dyDescent="0.2">
      <c r="A299" s="19" t="s">
        <v>21</v>
      </c>
      <c r="B299" s="2" t="str">
        <f>"V-"&amp;Table3[[#This Row],[Ticket_ID]]</f>
        <v>V-398</v>
      </c>
      <c r="C299" s="24">
        <f>Table3[[#This Row],[Date_Opened]]</f>
        <v>45687</v>
      </c>
      <c r="D299" s="24">
        <f>Table3[[#This Row],[Date_Resolved]]</f>
        <v>45688</v>
      </c>
      <c r="E299" s="25">
        <v>185</v>
      </c>
      <c r="F299" s="9">
        <v>40</v>
      </c>
      <c r="G299" s="9">
        <f>Table6[[#This Row],[Quantity]]*Table6[[#This Row],[Unit Price]]</f>
        <v>7400</v>
      </c>
      <c r="H299" s="23" t="s">
        <v>40</v>
      </c>
      <c r="I299" s="23" t="s">
        <v>64</v>
      </c>
      <c r="J299" s="9" t="str">
        <f>IF(Table6[[#This Row],[Order_Status]]="Delivered","Resolved","Open")</f>
        <v>Resolved</v>
      </c>
    </row>
    <row r="300" spans="1:10" x14ac:dyDescent="0.2">
      <c r="A300" s="18" t="s">
        <v>4</v>
      </c>
      <c r="B300" s="2" t="str">
        <f>"V-"&amp;Table3[[#This Row],[Ticket_ID]]</f>
        <v>V-399</v>
      </c>
      <c r="C300" s="24">
        <f>Table3[[#This Row],[Date_Opened]]</f>
        <v>45672</v>
      </c>
      <c r="D300" s="24">
        <f>Table3[[#This Row],[Date_Resolved]]</f>
        <v>45679</v>
      </c>
      <c r="E300" s="25">
        <v>317</v>
      </c>
      <c r="F300" s="9">
        <v>6</v>
      </c>
      <c r="G300" s="9">
        <f>Table6[[#This Row],[Quantity]]*Table6[[#This Row],[Unit Price]]</f>
        <v>1902</v>
      </c>
      <c r="H300" s="23" t="s">
        <v>42</v>
      </c>
      <c r="I300" s="23" t="s">
        <v>64</v>
      </c>
      <c r="J300" s="9" t="str">
        <f>IF(Table6[[#This Row],[Order_Status]]="Delivered","Resolved","Open")</f>
        <v>Resolved</v>
      </c>
    </row>
    <row r="301" spans="1:10" x14ac:dyDescent="0.2">
      <c r="A301" s="13" t="s">
        <v>4</v>
      </c>
      <c r="B301" s="23" t="str">
        <f>"V-"&amp;Table3[[#This Row],[Ticket_ID]]</f>
        <v>V-400</v>
      </c>
      <c r="C301" s="24">
        <f>Table3[[#This Row],[Date_Opened]]</f>
        <v>45673</v>
      </c>
      <c r="D301" s="24">
        <f>Table3[[#This Row],[Date_Resolved]]</f>
        <v>45674</v>
      </c>
      <c r="E301" s="25">
        <v>242</v>
      </c>
      <c r="F301" s="9">
        <v>17</v>
      </c>
      <c r="G301" s="9">
        <f>Table6[[#This Row],[Quantity]]*Table6[[#This Row],[Unit Price]]</f>
        <v>4114</v>
      </c>
      <c r="H301" s="23" t="s">
        <v>43</v>
      </c>
      <c r="I301" s="23" t="s">
        <v>64</v>
      </c>
      <c r="J301" s="9" t="str">
        <f>IF(Table6[[#This Row],[Order_Status]]="Delivered","Resolved","Open")</f>
        <v>Resolved</v>
      </c>
    </row>
  </sheetData>
  <phoneticPr fontId="3" alignment="center"/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EE03A-0AB0-1F42-8759-2CCE9A3D04A3}">
  <dimension ref="A1:F9"/>
  <sheetViews>
    <sheetView zoomScaleNormal="150" zoomScaleSheetLayoutView="100" workbookViewId="0">
      <selection activeCell="A11" sqref="A11"/>
    </sheetView>
  </sheetViews>
  <sheetFormatPr defaultRowHeight="15" x14ac:dyDescent="0.2"/>
  <cols>
    <col min="1" max="1" width="10.89453125" bestFit="1" customWidth="1"/>
    <col min="2" max="2" width="21.25390625" bestFit="1" customWidth="1"/>
    <col min="3" max="3" width="20.4453125" customWidth="1"/>
    <col min="4" max="6" width="21.1171875" customWidth="1"/>
  </cols>
  <sheetData>
    <row r="1" spans="1:6" x14ac:dyDescent="0.2">
      <c r="A1" t="s">
        <v>6</v>
      </c>
      <c r="B1" t="s">
        <v>46</v>
      </c>
      <c r="C1" t="s">
        <v>17</v>
      </c>
      <c r="D1" t="s">
        <v>15</v>
      </c>
      <c r="E1" t="s">
        <v>16</v>
      </c>
      <c r="F1" t="s">
        <v>18</v>
      </c>
    </row>
    <row r="2" spans="1:6" x14ac:dyDescent="0.2">
      <c r="A2" s="2" t="str">
        <f>Table1[[#This Row],[Vendors_ID]]</f>
        <v>Vendor A</v>
      </c>
      <c r="B2" s="27" t="s">
        <v>47</v>
      </c>
      <c r="C2" s="9">
        <f>Table1[[#This Row],[Contract__Value]]*Table5[[#This Row],[Rebate Percent]]</f>
        <v>6983.16</v>
      </c>
      <c r="D2" s="9">
        <f>SUMIFS(
   Table6[Purchase Value],
   Table6[Vendor ID],Table5[[#This Row],[Vendor_ID]],
   Table6[Order_Status],"Delivered"
) * Table5[[#This Row],[Rebate Percent]]</f>
        <v>6476.4400000000005</v>
      </c>
      <c r="E2" s="9">
        <f>SUMIFS(Table6[Purchase Value],Table6[Vendor ID],Table5[[#This Row],[Vendor_ID]],Table3[Paid],"Paid")*Table5[[#This Row],[Rebate Percent]]</f>
        <v>6781.3</v>
      </c>
      <c r="F2" s="29" t="str">
        <f>IF(Table5[[#This Row],[Rebate_Received]] &gt;= Table5[[#This Row],[Accured_Rebate]], "ISSUE", "OK")</f>
        <v>ISSUE</v>
      </c>
    </row>
    <row r="3" spans="1:6" x14ac:dyDescent="0.2">
      <c r="A3" s="2" t="str">
        <f>Table1[[#This Row],[Vendors_ID]]</f>
        <v>Vendor B</v>
      </c>
      <c r="B3" s="27" t="s">
        <v>48</v>
      </c>
      <c r="C3" s="9">
        <f>Table1[[#This Row],[Contract__Value]]*Table5[[#This Row],[Rebate Percent]]</f>
        <v>17002.88</v>
      </c>
      <c r="D3" s="9">
        <f>SUMIFS(
   Table6[Purchase Value],
   Table6[Vendor ID],Table5[[#This Row],[Vendor_ID]],
   Table6[Order_Status],"Delivered"
) * Table5[[#This Row],[Rebate Percent]]</f>
        <v>16295.08</v>
      </c>
      <c r="E3" s="9">
        <f>SUMIFS(Table6[Purchase Value],Table6[Vendor ID],Table5[[#This Row],[Vendor_ID]],Table3[Paid],"Paid")*Table5[[#This Row],[Rebate Percent]]</f>
        <v>14524.68</v>
      </c>
      <c r="F3" s="29" t="str">
        <f>IF(Table5[[#This Row],[Rebate_Received]] &gt;= Table5[[#This Row],[Accured_Rebate]], "ISSUE", "OK")</f>
        <v>OK</v>
      </c>
    </row>
    <row r="4" spans="1:6" x14ac:dyDescent="0.2">
      <c r="A4" s="2" t="str">
        <f>Table1[[#This Row],[Vendors_ID]]</f>
        <v>Vendor C</v>
      </c>
      <c r="B4" s="27" t="s">
        <v>49</v>
      </c>
      <c r="C4" s="9">
        <f>Table1[[#This Row],[Contract__Value]]*Table5[[#This Row],[Rebate Percent]]</f>
        <v>11378.1</v>
      </c>
      <c r="D4" s="9">
        <f>SUMIFS(
   Table6[Purchase Value],
   Table6[Vendor ID],Table5[[#This Row],[Vendor_ID]],
   Table6[Order_Status],"Delivered"
) * Table5[[#This Row],[Rebate Percent]]</f>
        <v>11205.3</v>
      </c>
      <c r="E4" s="9">
        <f>SUMIFS(Table6[Purchase Value],Table6[Vendor ID],Table5[[#This Row],[Vendor_ID]],Table3[Paid],"Paid")*Table5[[#This Row],[Rebate Percent]]</f>
        <v>10263.81</v>
      </c>
      <c r="F4" s="29" t="str">
        <f>IF(Table5[[#This Row],[Rebate_Received]] &gt;= Table5[[#This Row],[Accured_Rebate]], "ISSUE", "OK")</f>
        <v>OK</v>
      </c>
    </row>
    <row r="5" spans="1:6" x14ac:dyDescent="0.2">
      <c r="A5" s="2" t="str">
        <f>Table1[[#This Row],[Vendors_ID]]</f>
        <v>Vendor D</v>
      </c>
      <c r="B5" s="27" t="s">
        <v>48</v>
      </c>
      <c r="C5" s="9">
        <f>Table1[[#This Row],[Contract__Value]]*Table5[[#This Row],[Rebate Percent]]</f>
        <v>20080.48</v>
      </c>
      <c r="D5" s="9">
        <f>SUMIFS(
   Table6[Purchase Value],
   Table6[Vendor ID],Table5[[#This Row],[Vendor_ID]],
   Table6[Order_Status],"Delivered"
) * Table5[[#This Row],[Rebate Percent]]</f>
        <v>17997.920000000002</v>
      </c>
      <c r="E5" s="9">
        <f>SUMIFS(Table6[Purchase Value],Table6[Vendor ID],Table5[[#This Row],[Vendor_ID]],Table3[Paid],"Paid")*Table5[[#This Row],[Rebate Percent]]</f>
        <v>18722.16</v>
      </c>
      <c r="F5" s="29" t="str">
        <f>IF(Table5[[#This Row],[Rebate_Received]] &gt;= Table5[[#This Row],[Accured_Rebate]], "ISSUE", "OK")</f>
        <v>ISSUE</v>
      </c>
    </row>
    <row r="6" spans="1:6" x14ac:dyDescent="0.2">
      <c r="A6" s="2" t="str">
        <f>Table1[[#This Row],[Vendors_ID]]</f>
        <v>Vendor E</v>
      </c>
      <c r="B6" s="27" t="s">
        <v>50</v>
      </c>
      <c r="C6" s="9">
        <f>Table1[[#This Row],[Contract__Value]]*Table5[[#This Row],[Rebate Percent]]</f>
        <v>20702.080000000002</v>
      </c>
      <c r="D6" s="9">
        <f>SUMIFS(
   Table6[Purchase Value],
   Table6[Vendor ID],Table5[[#This Row],[Vendor_ID]],
   Table6[Order_Status],"Delivered"
) * Table5[[#This Row],[Rebate Percent]]</f>
        <v>20069.84</v>
      </c>
      <c r="E6" s="9">
        <f>SUMIFS(Table6[Purchase Value],Table6[Vendor ID],Table5[[#This Row],[Vendor_ID]],Table3[Paid],"Paid")*Table5[[#This Row],[Rebate Percent]]</f>
        <v>19593.210000000003</v>
      </c>
      <c r="F6" s="29" t="str">
        <f>IF(Table5[[#This Row],[Rebate_Received]] &gt;= Table5[[#This Row],[Accured_Rebate]], "ISSUE", "OK")</f>
        <v>OK</v>
      </c>
    </row>
    <row r="7" spans="1:6" x14ac:dyDescent="0.2">
      <c r="A7" s="2" t="str">
        <f>Table1[[#This Row],[Vendors_ID]]</f>
        <v>Vendor F</v>
      </c>
      <c r="B7" s="27" t="s">
        <v>50</v>
      </c>
      <c r="C7" s="9">
        <f>Table1[[#This Row],[Contract__Value]]*Table5[[#This Row],[Rebate Percent]]</f>
        <v>23749.95</v>
      </c>
      <c r="D7" s="9">
        <f>SUMIFS(
   Table6[Purchase Value],
   Table6[Vendor ID],Table5[[#This Row],[Vendor_ID]],
   Table6[Order_Status],"Delivered"
) * Table5[[#This Row],[Rebate Percent]]</f>
        <v>22511.58</v>
      </c>
      <c r="E7" s="9">
        <f>SUMIFS(Table6[Purchase Value],Table6[Vendor ID],Table5[[#This Row],[Vendor_ID]],Table3[Paid],"Paid")*Table5[[#This Row],[Rebate Percent]]</f>
        <v>20070.050000000003</v>
      </c>
      <c r="F7" s="29" t="str">
        <f>IF(Table5[[#This Row],[Rebate_Received]] &gt;= Table5[[#This Row],[Accured_Rebate]], "ISSUE", "OK")</f>
        <v>OK</v>
      </c>
    </row>
    <row r="8" spans="1:6" x14ac:dyDescent="0.2">
      <c r="A8" s="2" t="str">
        <f>Table1[[#This Row],[Vendors_ID]]</f>
        <v>Vendor G</v>
      </c>
      <c r="B8" s="27" t="s">
        <v>48</v>
      </c>
      <c r="C8" s="9">
        <f>Table1[[#This Row],[Contract__Value]]*Table5[[#This Row],[Rebate Percent]]</f>
        <v>13784.48</v>
      </c>
      <c r="D8" s="9">
        <f>SUMIFS(
   Table6[Purchase Value],
   Table6[Vendor ID],Table5[[#This Row],[Vendor_ID]],
   Table6[Order_Status],"Delivered"
) * Table5[[#This Row],[Rebate Percent]]</f>
        <v>13633.28</v>
      </c>
      <c r="E8" s="9">
        <f>SUMIFS(Table6[Purchase Value],Table6[Vendor ID],Table5[[#This Row],[Vendor_ID]],Table3[Paid],"Paid")*Table5[[#This Row],[Rebate Percent]]</f>
        <v>13431.52</v>
      </c>
      <c r="F8" s="29" t="str">
        <f>IF(Table5[[#This Row],[Rebate_Received]] &gt;= Table5[[#This Row],[Accured_Rebate]], "ISSUE", "OK")</f>
        <v>OK</v>
      </c>
    </row>
    <row r="9" spans="1:6" x14ac:dyDescent="0.2">
      <c r="A9" s="2" t="str">
        <f>Table1[[#This Row],[Vendors_ID]]</f>
        <v>Vendor H</v>
      </c>
      <c r="B9" s="28">
        <v>0.05</v>
      </c>
      <c r="C9" s="9">
        <f>Table1[[#This Row],[Contract__Value]]*Table5[[#This Row],[Rebate Percent]]</f>
        <v>16639.400000000001</v>
      </c>
      <c r="D9" s="9">
        <f>SUMIFS(
   Table6[Purchase Value],
   Table6[Vendor ID],Table5[[#This Row],[Vendor_ID]],
   Table6[Order_Status],"Delivered"
) * Table5[[#This Row],[Rebate Percent]]</f>
        <v>15125.25</v>
      </c>
      <c r="E9" s="9">
        <f>SUMIFS(Table6[Purchase Value],Table6[Vendor ID],Table5[[#This Row],[Vendor_ID]],Table3[Paid],"Paid")*Table5[[#This Row],[Rebate Percent]]</f>
        <v>16354.300000000001</v>
      </c>
      <c r="F9" s="29" t="str">
        <f>IF(Table5[[#This Row],[Rebate_Received]] &gt;= Table5[[#This Row],[Accured_Rebate]], "ISSUE", "OK")</f>
        <v>ISSUE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C8003-A694-4E49-B1A5-2DE34ECDD323}">
  <dimension ref="A1:J19"/>
  <sheetViews>
    <sheetView zoomScaleNormal="150" zoomScaleSheetLayoutView="100" workbookViewId="0">
      <selection activeCell="I12" sqref="I12"/>
    </sheetView>
  </sheetViews>
  <sheetFormatPr defaultRowHeight="15" x14ac:dyDescent="0.2"/>
  <cols>
    <col min="1" max="1" width="10.89453125" bestFit="1" customWidth="1"/>
    <col min="2" max="2" width="15.73828125" bestFit="1" customWidth="1"/>
    <col min="3" max="3" width="14.2578125" bestFit="1" customWidth="1"/>
    <col min="4" max="4" width="16.41015625" bestFit="1" customWidth="1"/>
    <col min="5" max="5" width="17.484375" customWidth="1"/>
    <col min="6" max="6" width="17.08203125" bestFit="1" customWidth="1"/>
    <col min="7" max="7" width="13.046875" bestFit="1" customWidth="1"/>
    <col min="9" max="9" width="14.125" bestFit="1" customWidth="1"/>
    <col min="10" max="10" width="34.4375" bestFit="1" customWidth="1"/>
  </cols>
  <sheetData>
    <row r="1" spans="1:10" x14ac:dyDescent="0.2">
      <c r="A1" t="s">
        <v>61</v>
      </c>
      <c r="B1" t="s">
        <v>55</v>
      </c>
      <c r="C1" t="s">
        <v>56</v>
      </c>
      <c r="D1" t="s">
        <v>58</v>
      </c>
      <c r="E1" t="s">
        <v>57</v>
      </c>
      <c r="F1" t="s">
        <v>59</v>
      </c>
      <c r="G1" t="s">
        <v>60</v>
      </c>
    </row>
    <row r="2" spans="1:10" x14ac:dyDescent="0.2">
      <c r="A2" t="str">
        <f>Table1[[#This Row],[Vendors_ID]]</f>
        <v>Vendor A</v>
      </c>
      <c r="B2" s="29">
        <f>Table1[[#This Row],[Contract__Value]]</f>
        <v>349158</v>
      </c>
      <c r="C2" s="29">
        <f>Table1[[#This Row],[Actual_Spend]]</f>
        <v>323822</v>
      </c>
      <c r="D2" s="29">
        <f>Table5[[#This Row],[Accured_Rebate]]</f>
        <v>6476.4400000000005</v>
      </c>
      <c r="E2" s="29">
        <f>Table5[[#This Row],[Expected_Rebate]]</f>
        <v>6983.16</v>
      </c>
      <c r="F2" s="29">
        <f>Table5[[#This Row],[Rebate_Received]]</f>
        <v>6781.3</v>
      </c>
      <c r="G2" s="29" t="str">
        <f>Table5[[#This Row],[Rebate_Flag]]</f>
        <v>ISSUE</v>
      </c>
    </row>
    <row r="3" spans="1:10" x14ac:dyDescent="0.2">
      <c r="A3" t="str">
        <f>Table1[[#This Row],[Vendors_ID]]</f>
        <v>Vendor B</v>
      </c>
      <c r="B3" s="29">
        <f>Table1[[#This Row],[Contract__Value]]</f>
        <v>425072</v>
      </c>
      <c r="C3" s="29">
        <f>Table1[[#This Row],[Actual_Spend]]</f>
        <v>407377</v>
      </c>
      <c r="D3" s="29">
        <f>Table5[[#This Row],[Accured_Rebate]]</f>
        <v>16295.08</v>
      </c>
      <c r="E3" s="29">
        <f>Table5[[#This Row],[Expected_Rebate]]</f>
        <v>17002.88</v>
      </c>
      <c r="F3" s="29">
        <f>Table5[[#This Row],[Rebate_Received]]</f>
        <v>14524.68</v>
      </c>
      <c r="G3" s="29" t="str">
        <f>Table5[[#This Row],[Rebate_Flag]]</f>
        <v>OK</v>
      </c>
    </row>
    <row r="4" spans="1:10" x14ac:dyDescent="0.2">
      <c r="A4" t="str">
        <f>Table1[[#This Row],[Vendors_ID]]</f>
        <v>Vendor C</v>
      </c>
      <c r="B4" s="29">
        <f>Table1[[#This Row],[Contract__Value]]</f>
        <v>379270</v>
      </c>
      <c r="C4" s="29">
        <f>Table1[[#This Row],[Actual_Spend]]</f>
        <v>373510</v>
      </c>
      <c r="D4" s="29">
        <f>Table5[[#This Row],[Accured_Rebate]]</f>
        <v>11205.3</v>
      </c>
      <c r="E4" s="29">
        <f>Table5[[#This Row],[Expected_Rebate]]</f>
        <v>11378.1</v>
      </c>
      <c r="F4" s="29">
        <f>Table5[[#This Row],[Rebate_Received]]</f>
        <v>10263.81</v>
      </c>
      <c r="G4" t="str">
        <f>Table5[[#This Row],[Rebate_Flag]]</f>
        <v>OK</v>
      </c>
    </row>
    <row r="5" spans="1:10" x14ac:dyDescent="0.2">
      <c r="A5" t="str">
        <f>Table1[[#This Row],[Vendors_ID]]</f>
        <v>Vendor D</v>
      </c>
      <c r="B5" s="29">
        <f>Table1[[#This Row],[Contract__Value]]</f>
        <v>502012</v>
      </c>
      <c r="C5" s="29">
        <f>Table1[[#This Row],[Actual_Spend]]</f>
        <v>449948</v>
      </c>
      <c r="D5" s="29">
        <f>Table5[[#This Row],[Accured_Rebate]]</f>
        <v>17997.920000000002</v>
      </c>
      <c r="E5" s="29">
        <f>Table5[[#This Row],[Expected_Rebate]]</f>
        <v>20080.48</v>
      </c>
      <c r="F5" s="29">
        <f>Table5[[#This Row],[Rebate_Received]]</f>
        <v>18722.16</v>
      </c>
      <c r="G5" s="29" t="str">
        <f>Table5[[#This Row],[Rebate_Flag]]</f>
        <v>ISSUE</v>
      </c>
    </row>
    <row r="6" spans="1:10" x14ac:dyDescent="0.2">
      <c r="A6" t="str">
        <f>Table1[[#This Row],[Vendors_ID]]</f>
        <v>Vendor E</v>
      </c>
      <c r="B6" s="29">
        <f>Table1[[#This Row],[Contract__Value]]</f>
        <v>295744</v>
      </c>
      <c r="C6" s="29">
        <f>Table1[[#This Row],[Actual_Spend]]</f>
        <v>286712</v>
      </c>
      <c r="D6" s="29">
        <f>Table5[[#This Row],[Accured_Rebate]]</f>
        <v>20069.84</v>
      </c>
      <c r="E6" s="29">
        <f>Table5[[#This Row],[Expected_Rebate]]</f>
        <v>20702.080000000002</v>
      </c>
      <c r="F6" s="29">
        <f>Table5[[#This Row],[Rebate_Received]]</f>
        <v>19593.210000000003</v>
      </c>
      <c r="G6" s="29" t="str">
        <f>Table5[[#This Row],[Rebate_Flag]]</f>
        <v>OK</v>
      </c>
    </row>
    <row r="7" spans="1:10" x14ac:dyDescent="0.2">
      <c r="A7" t="str">
        <f>Table1[[#This Row],[Vendors_ID]]</f>
        <v>Vendor F</v>
      </c>
      <c r="B7" s="29">
        <f>Table1[[#This Row],[Contract__Value]]</f>
        <v>339285</v>
      </c>
      <c r="C7" s="29">
        <f>Table1[[#This Row],[Actual_Spend]]</f>
        <v>321594</v>
      </c>
      <c r="D7" s="29">
        <f>Table5[[#This Row],[Accured_Rebate]]</f>
        <v>22511.58</v>
      </c>
      <c r="E7" s="29">
        <f>Table5[[#This Row],[Expected_Rebate]]</f>
        <v>23749.95</v>
      </c>
      <c r="F7" s="29">
        <f>Table5[[#This Row],[Rebate_Received]]</f>
        <v>20070.050000000003</v>
      </c>
      <c r="G7" s="29" t="str">
        <f>Table5[[#This Row],[Rebate_Flag]]</f>
        <v>OK</v>
      </c>
    </row>
    <row r="8" spans="1:10" x14ac:dyDescent="0.2">
      <c r="A8" t="str">
        <f>Table1[[#This Row],[Vendors_ID]]</f>
        <v>Vendor G</v>
      </c>
      <c r="B8" s="29">
        <f>Table1[[#This Row],[Contract__Value]]</f>
        <v>344612</v>
      </c>
      <c r="C8" s="29">
        <f>Table1[[#This Row],[Actual_Spend]]</f>
        <v>340832</v>
      </c>
      <c r="D8" s="29">
        <f>Table5[[#This Row],[Accured_Rebate]]</f>
        <v>13633.28</v>
      </c>
      <c r="E8" s="29">
        <f>Table5[[#This Row],[Expected_Rebate]]</f>
        <v>13784.48</v>
      </c>
      <c r="F8" s="29">
        <f>Table5[[#This Row],[Rebate_Received]]</f>
        <v>13431.52</v>
      </c>
      <c r="G8" t="str">
        <f>Table5[[#This Row],[Rebate_Flag]]</f>
        <v>OK</v>
      </c>
    </row>
    <row r="9" spans="1:10" x14ac:dyDescent="0.2">
      <c r="A9" t="str">
        <f>Table1[[#This Row],[Vendors_ID]]</f>
        <v>Vendor H</v>
      </c>
      <c r="B9" s="29">
        <f>Table1[[#This Row],[Contract__Value]]</f>
        <v>332788</v>
      </c>
      <c r="C9" s="29">
        <f>Table1[[#This Row],[Actual_Spend]]</f>
        <v>302505</v>
      </c>
      <c r="D9" s="29">
        <f>Table5[[#This Row],[Accured_Rebate]]</f>
        <v>15125.25</v>
      </c>
      <c r="E9" s="29">
        <f>Table5[[#This Row],[Expected_Rebate]]</f>
        <v>16639.400000000001</v>
      </c>
      <c r="F9" s="29">
        <f>Table5[[#This Row],[Rebate_Received]]</f>
        <v>16354.300000000001</v>
      </c>
      <c r="G9" t="str">
        <f>Table5[[#This Row],[Rebate_Flag]]</f>
        <v>ISSUE</v>
      </c>
    </row>
    <row r="12" spans="1:10" x14ac:dyDescent="0.2">
      <c r="I12" s="2"/>
      <c r="J12" s="2"/>
    </row>
    <row r="13" spans="1:10" x14ac:dyDescent="0.2">
      <c r="I13" s="2"/>
      <c r="J13" s="2"/>
    </row>
    <row r="14" spans="1:10" x14ac:dyDescent="0.2">
      <c r="I14" s="2"/>
      <c r="J14" s="2"/>
    </row>
    <row r="15" spans="1:10" x14ac:dyDescent="0.2">
      <c r="I15" s="2"/>
      <c r="J15" s="2"/>
    </row>
    <row r="16" spans="1:10" x14ac:dyDescent="0.2">
      <c r="I16" s="2"/>
      <c r="J16" s="2"/>
    </row>
    <row r="17" spans="9:10" x14ac:dyDescent="0.2">
      <c r="I17" s="2"/>
      <c r="J17" s="2"/>
    </row>
    <row r="18" spans="9:10" x14ac:dyDescent="0.2">
      <c r="I18" s="2"/>
      <c r="J18" s="2"/>
    </row>
    <row r="19" spans="9:10" x14ac:dyDescent="0.2">
      <c r="I19" s="2"/>
      <c r="J19" s="2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6443-C7CE-6F4A-915D-4CBC6BF0D1CF}">
  <dimension ref="A1:C12"/>
  <sheetViews>
    <sheetView zoomScaleNormal="150" zoomScaleSheetLayoutView="100" workbookViewId="0">
      <selection activeCell="C12" sqref="C12"/>
    </sheetView>
  </sheetViews>
  <sheetFormatPr defaultRowHeight="15" x14ac:dyDescent="0.2"/>
  <cols>
    <col min="1" max="1" width="22.8671875" bestFit="1" customWidth="1"/>
    <col min="2" max="2" width="34.4375" bestFit="1" customWidth="1"/>
    <col min="3" max="3" width="32.41796875" bestFit="1" customWidth="1"/>
  </cols>
  <sheetData>
    <row r="1" spans="1:3" x14ac:dyDescent="0.2">
      <c r="A1" s="2" t="s">
        <v>78</v>
      </c>
      <c r="B1" s="2" t="s">
        <v>80</v>
      </c>
      <c r="C1" s="2"/>
    </row>
    <row r="2" spans="1:3" x14ac:dyDescent="0.2">
      <c r="A2" s="2" t="s">
        <v>68</v>
      </c>
      <c r="B2" s="2">
        <v>8</v>
      </c>
      <c r="C2" s="2"/>
    </row>
    <row r="3" spans="1:3" x14ac:dyDescent="0.2">
      <c r="A3" s="2" t="s">
        <v>69</v>
      </c>
      <c r="B3" s="9">
        <f>SUM(Table1[Contract__Value])</f>
        <v>2967941</v>
      </c>
      <c r="C3" s="2"/>
    </row>
    <row r="4" spans="1:3" x14ac:dyDescent="0.2">
      <c r="A4" s="2" t="s">
        <v>70</v>
      </c>
      <c r="B4" s="9">
        <f>SUM(Table1[Actual_Spend])</f>
        <v>2806300</v>
      </c>
      <c r="C4" s="2"/>
    </row>
    <row r="5" spans="1:3" x14ac:dyDescent="0.2">
      <c r="A5" s="2" t="s">
        <v>71</v>
      </c>
      <c r="B5" s="9">
        <f>SUM(Table5[Accured_Rebate])</f>
        <v>123314.69</v>
      </c>
      <c r="C5" s="2"/>
    </row>
    <row r="6" spans="1:3" x14ac:dyDescent="0.2">
      <c r="A6" s="2" t="s">
        <v>72</v>
      </c>
      <c r="B6" s="9">
        <f>SUM(Table5[Rebate_Received])</f>
        <v>119741.03000000001</v>
      </c>
      <c r="C6" s="2"/>
    </row>
    <row r="7" spans="1:3" x14ac:dyDescent="0.2">
      <c r="A7" s="2" t="s">
        <v>73</v>
      </c>
      <c r="B7" s="30">
        <f>B5-B6</f>
        <v>3573.6599999999889</v>
      </c>
      <c r="C7" s="2"/>
    </row>
    <row r="8" spans="1:3" x14ac:dyDescent="0.2">
      <c r="A8" s="2" t="s">
        <v>74</v>
      </c>
      <c r="B8" s="31">
        <f>B6/B5</f>
        <v>0.97101999769857117</v>
      </c>
      <c r="C8" s="2"/>
    </row>
    <row r="9" spans="1:3" x14ac:dyDescent="0.2">
      <c r="A9" s="2" t="s">
        <v>75</v>
      </c>
      <c r="B9" s="2">
        <f>COUNTIF(Table8[Rebate Flag],"OK")</f>
        <v>5</v>
      </c>
      <c r="C9" s="2"/>
    </row>
    <row r="10" spans="1:3" x14ac:dyDescent="0.2">
      <c r="A10" s="2" t="s">
        <v>76</v>
      </c>
      <c r="B10" s="2">
        <f>COUNTIF(Table8[Rebate Flag],"ISSUE")</f>
        <v>3</v>
      </c>
      <c r="C10" s="2"/>
    </row>
    <row r="11" spans="1:3" x14ac:dyDescent="0.2">
      <c r="A11" s="2" t="s">
        <v>77</v>
      </c>
      <c r="B11" s="31">
        <f>B4/B3</f>
        <v>0.94553766398995132</v>
      </c>
      <c r="C11" s="2"/>
    </row>
    <row r="12" spans="1:3" x14ac:dyDescent="0.2">
      <c r="A12" s="2" t="s">
        <v>79</v>
      </c>
      <c r="B12" s="32">
        <f>COUNTIF(Table3[Paid],"Paid")/COUNTA(Table3[Paid])</f>
        <v>0.91333333333333333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411DB-DC53-6A4C-ABAD-B97F5B77B2E4}">
  <dimension ref="A2:H100"/>
  <sheetViews>
    <sheetView tabSelected="1" zoomScaleNormal="150" zoomScaleSheetLayoutView="100" workbookViewId="0">
      <selection activeCell="E8" sqref="E8"/>
    </sheetView>
  </sheetViews>
  <sheetFormatPr defaultRowHeight="15" x14ac:dyDescent="0.2"/>
  <cols>
    <col min="1" max="1" width="11.8359375" customWidth="1"/>
    <col min="2" max="2" width="18.29296875" customWidth="1"/>
    <col min="3" max="3" width="19.1015625" bestFit="1" customWidth="1"/>
    <col min="4" max="4" width="12.5078125" bestFit="1" customWidth="1"/>
    <col min="6" max="6" width="11.703125" customWidth="1"/>
    <col min="7" max="7" width="20.4453125" bestFit="1" customWidth="1"/>
    <col min="8" max="8" width="21.1171875" bestFit="1" customWidth="1"/>
  </cols>
  <sheetData>
    <row r="2" spans="1:8" x14ac:dyDescent="0.2">
      <c r="A2" s="33" t="s">
        <v>45</v>
      </c>
      <c r="B2" s="33" t="s">
        <v>39</v>
      </c>
      <c r="C2" s="33" t="s">
        <v>86</v>
      </c>
      <c r="F2" s="37" t="s">
        <v>6</v>
      </c>
      <c r="G2" s="37" t="s">
        <v>82</v>
      </c>
      <c r="H2" s="34" t="s">
        <v>83</v>
      </c>
    </row>
    <row r="3" spans="1:8" x14ac:dyDescent="0.2">
      <c r="A3" t="s">
        <v>1</v>
      </c>
      <c r="B3" t="s">
        <v>42</v>
      </c>
      <c r="C3" t="s">
        <v>87</v>
      </c>
      <c r="D3" s="29">
        <v>31064</v>
      </c>
      <c r="F3" t="s">
        <v>1</v>
      </c>
      <c r="G3" s="29">
        <v>6476.4400000000005</v>
      </c>
      <c r="H3" s="29">
        <v>6781.3</v>
      </c>
    </row>
    <row r="4" spans="1:8" x14ac:dyDescent="0.2">
      <c r="C4" t="s">
        <v>85</v>
      </c>
      <c r="D4" s="21">
        <v>2373</v>
      </c>
      <c r="F4" t="s">
        <v>2</v>
      </c>
      <c r="G4" s="29">
        <v>16295.08</v>
      </c>
      <c r="H4" s="29">
        <v>14524.68</v>
      </c>
    </row>
    <row r="5" spans="1:8" x14ac:dyDescent="0.2">
      <c r="B5" t="s">
        <v>44</v>
      </c>
      <c r="C5" t="s">
        <v>87</v>
      </c>
      <c r="D5" s="29">
        <v>222005</v>
      </c>
      <c r="F5" t="s">
        <v>3</v>
      </c>
      <c r="G5" s="29">
        <v>11205.3</v>
      </c>
      <c r="H5" s="29">
        <v>10263.81</v>
      </c>
    </row>
    <row r="6" spans="1:8" x14ac:dyDescent="0.2">
      <c r="C6" t="s">
        <v>85</v>
      </c>
      <c r="D6" s="21">
        <v>3943</v>
      </c>
      <c r="F6" t="s">
        <v>4</v>
      </c>
      <c r="G6" s="29">
        <v>17997.920000000002</v>
      </c>
      <c r="H6" s="29">
        <v>18722.16</v>
      </c>
    </row>
    <row r="7" spans="1:8" x14ac:dyDescent="0.2">
      <c r="B7" t="s">
        <v>40</v>
      </c>
      <c r="C7" t="s">
        <v>87</v>
      </c>
      <c r="D7" s="29">
        <v>40299</v>
      </c>
      <c r="F7" t="s">
        <v>22</v>
      </c>
      <c r="G7" s="29">
        <v>20069.84</v>
      </c>
      <c r="H7" s="29">
        <v>19593.210000000003</v>
      </c>
    </row>
    <row r="8" spans="1:8" x14ac:dyDescent="0.2">
      <c r="C8" t="s">
        <v>85</v>
      </c>
      <c r="D8" s="21">
        <v>1478</v>
      </c>
      <c r="F8" t="s">
        <v>23</v>
      </c>
      <c r="G8" s="29">
        <v>22511.58</v>
      </c>
      <c r="H8" s="29">
        <v>20070.050000000003</v>
      </c>
    </row>
    <row r="9" spans="1:8" x14ac:dyDescent="0.2">
      <c r="B9" t="s">
        <v>43</v>
      </c>
      <c r="C9" t="s">
        <v>87</v>
      </c>
      <c r="D9" s="29">
        <v>40044</v>
      </c>
      <c r="F9" t="s">
        <v>20</v>
      </c>
      <c r="G9" s="29">
        <v>13633.28</v>
      </c>
      <c r="H9" s="29">
        <v>13431.52</v>
      </c>
    </row>
    <row r="10" spans="1:8" x14ac:dyDescent="0.2">
      <c r="C10" t="s">
        <v>85</v>
      </c>
      <c r="D10" s="21">
        <v>2485</v>
      </c>
      <c r="F10" t="s">
        <v>21</v>
      </c>
      <c r="G10" s="29">
        <v>15125.25</v>
      </c>
      <c r="H10" s="29">
        <v>16354.300000000001</v>
      </c>
    </row>
    <row r="11" spans="1:8" x14ac:dyDescent="0.2">
      <c r="B11" t="s">
        <v>41</v>
      </c>
      <c r="C11" t="s">
        <v>87</v>
      </c>
      <c r="D11" s="29">
        <v>15746</v>
      </c>
      <c r="F11" s="35" t="s">
        <v>81</v>
      </c>
      <c r="G11" s="36">
        <v>123314.69</v>
      </c>
      <c r="H11" s="36">
        <v>119741.03000000001</v>
      </c>
    </row>
    <row r="12" spans="1:8" x14ac:dyDescent="0.2">
      <c r="C12" t="s">
        <v>85</v>
      </c>
      <c r="D12" s="21">
        <v>951</v>
      </c>
    </row>
    <row r="13" spans="1:8" x14ac:dyDescent="0.2">
      <c r="A13" t="s">
        <v>90</v>
      </c>
      <c r="D13" s="29">
        <v>349158</v>
      </c>
      <c r="F13" s="37" t="s">
        <v>0</v>
      </c>
      <c r="G13" s="34" t="s">
        <v>84</v>
      </c>
    </row>
    <row r="14" spans="1:8" x14ac:dyDescent="0.2">
      <c r="A14" t="s">
        <v>91</v>
      </c>
      <c r="D14" s="21">
        <v>11230</v>
      </c>
      <c r="F14" t="s">
        <v>1</v>
      </c>
      <c r="G14" s="10">
        <v>38</v>
      </c>
    </row>
    <row r="15" spans="1:8" x14ac:dyDescent="0.2">
      <c r="A15" t="s">
        <v>2</v>
      </c>
      <c r="B15" t="s">
        <v>42</v>
      </c>
      <c r="C15" t="s">
        <v>87</v>
      </c>
      <c r="D15" s="29">
        <v>39635</v>
      </c>
      <c r="F15" t="s">
        <v>2</v>
      </c>
      <c r="G15" s="10">
        <v>41</v>
      </c>
    </row>
    <row r="16" spans="1:8" x14ac:dyDescent="0.2">
      <c r="C16" t="s">
        <v>85</v>
      </c>
      <c r="D16" s="21">
        <v>2866</v>
      </c>
      <c r="F16" t="s">
        <v>3</v>
      </c>
      <c r="G16" s="10">
        <v>30</v>
      </c>
    </row>
    <row r="17" spans="1:7" x14ac:dyDescent="0.2">
      <c r="B17" t="s">
        <v>44</v>
      </c>
      <c r="C17" t="s">
        <v>87</v>
      </c>
      <c r="D17" s="29">
        <v>254517</v>
      </c>
      <c r="F17" t="s">
        <v>4</v>
      </c>
      <c r="G17" s="10">
        <v>57</v>
      </c>
    </row>
    <row r="18" spans="1:7" x14ac:dyDescent="0.2">
      <c r="C18" t="s">
        <v>85</v>
      </c>
      <c r="D18" s="21">
        <v>3557</v>
      </c>
      <c r="F18" t="s">
        <v>22</v>
      </c>
      <c r="G18" s="10">
        <v>33</v>
      </c>
    </row>
    <row r="19" spans="1:7" x14ac:dyDescent="0.2">
      <c r="B19" t="s">
        <v>40</v>
      </c>
      <c r="C19" t="s">
        <v>87</v>
      </c>
      <c r="D19" s="29">
        <v>68574</v>
      </c>
      <c r="F19" t="s">
        <v>23</v>
      </c>
      <c r="G19" s="10">
        <v>34</v>
      </c>
    </row>
    <row r="20" spans="1:7" x14ac:dyDescent="0.2">
      <c r="C20" t="s">
        <v>85</v>
      </c>
      <c r="D20" s="21">
        <v>2695</v>
      </c>
      <c r="F20" t="s">
        <v>20</v>
      </c>
      <c r="G20" s="10">
        <v>31</v>
      </c>
    </row>
    <row r="21" spans="1:7" x14ac:dyDescent="0.2">
      <c r="B21" t="s">
        <v>43</v>
      </c>
      <c r="C21" t="s">
        <v>87</v>
      </c>
      <c r="D21" s="29">
        <v>28664</v>
      </c>
      <c r="F21" t="s">
        <v>21</v>
      </c>
      <c r="G21" s="10">
        <v>36</v>
      </c>
    </row>
    <row r="22" spans="1:7" x14ac:dyDescent="0.2">
      <c r="C22" t="s">
        <v>85</v>
      </c>
      <c r="D22" s="21">
        <v>1206</v>
      </c>
      <c r="F22" s="35" t="s">
        <v>81</v>
      </c>
      <c r="G22" s="38">
        <v>300</v>
      </c>
    </row>
    <row r="23" spans="1:7" x14ac:dyDescent="0.2">
      <c r="B23" t="s">
        <v>41</v>
      </c>
      <c r="C23" t="s">
        <v>87</v>
      </c>
      <c r="D23" s="29">
        <v>33682</v>
      </c>
    </row>
    <row r="24" spans="1:7" x14ac:dyDescent="0.2">
      <c r="C24" t="s">
        <v>85</v>
      </c>
      <c r="D24" s="21">
        <v>1966</v>
      </c>
    </row>
    <row r="25" spans="1:7" x14ac:dyDescent="0.2">
      <c r="A25" t="s">
        <v>92</v>
      </c>
      <c r="D25" s="29">
        <v>425072</v>
      </c>
    </row>
    <row r="26" spans="1:7" x14ac:dyDescent="0.2">
      <c r="A26" t="s">
        <v>93</v>
      </c>
      <c r="D26" s="21">
        <v>12290</v>
      </c>
    </row>
    <row r="27" spans="1:7" x14ac:dyDescent="0.2">
      <c r="A27" t="s">
        <v>3</v>
      </c>
      <c r="B27" t="s">
        <v>42</v>
      </c>
      <c r="C27" t="s">
        <v>87</v>
      </c>
      <c r="D27" s="29">
        <v>24421</v>
      </c>
    </row>
    <row r="28" spans="1:7" x14ac:dyDescent="0.2">
      <c r="C28" t="s">
        <v>85</v>
      </c>
      <c r="D28" s="21">
        <v>1729</v>
      </c>
    </row>
    <row r="29" spans="1:7" x14ac:dyDescent="0.2">
      <c r="B29" t="s">
        <v>44</v>
      </c>
      <c r="C29" t="s">
        <v>87</v>
      </c>
      <c r="D29" s="29">
        <v>257771</v>
      </c>
    </row>
    <row r="30" spans="1:7" x14ac:dyDescent="0.2">
      <c r="C30" t="s">
        <v>85</v>
      </c>
      <c r="D30" s="21">
        <v>3244</v>
      </c>
    </row>
    <row r="31" spans="1:7" x14ac:dyDescent="0.2">
      <c r="B31" t="s">
        <v>40</v>
      </c>
      <c r="C31" t="s">
        <v>87</v>
      </c>
      <c r="D31" s="29">
        <v>24362</v>
      </c>
    </row>
    <row r="32" spans="1:7" x14ac:dyDescent="0.2">
      <c r="C32" t="s">
        <v>85</v>
      </c>
      <c r="D32" s="21">
        <v>788</v>
      </c>
    </row>
    <row r="33" spans="1:4" x14ac:dyDescent="0.2">
      <c r="B33" t="s">
        <v>43</v>
      </c>
      <c r="C33" t="s">
        <v>87</v>
      </c>
      <c r="D33" s="29">
        <v>48885</v>
      </c>
    </row>
    <row r="34" spans="1:4" x14ac:dyDescent="0.2">
      <c r="C34" t="s">
        <v>85</v>
      </c>
      <c r="D34" s="21">
        <v>2471</v>
      </c>
    </row>
    <row r="35" spans="1:4" x14ac:dyDescent="0.2">
      <c r="B35" t="s">
        <v>41</v>
      </c>
      <c r="C35" t="s">
        <v>87</v>
      </c>
      <c r="D35" s="29">
        <v>23831</v>
      </c>
    </row>
    <row r="36" spans="1:4" x14ac:dyDescent="0.2">
      <c r="C36" t="s">
        <v>85</v>
      </c>
      <c r="D36" s="21">
        <v>1225</v>
      </c>
    </row>
    <row r="37" spans="1:4" x14ac:dyDescent="0.2">
      <c r="A37" t="s">
        <v>94</v>
      </c>
      <c r="D37" s="29">
        <v>379270</v>
      </c>
    </row>
    <row r="38" spans="1:4" x14ac:dyDescent="0.2">
      <c r="A38" t="s">
        <v>95</v>
      </c>
      <c r="D38" s="21">
        <v>9457</v>
      </c>
    </row>
    <row r="39" spans="1:4" x14ac:dyDescent="0.2">
      <c r="A39" t="s">
        <v>4</v>
      </c>
      <c r="B39" t="s">
        <v>42</v>
      </c>
      <c r="C39" t="s">
        <v>87</v>
      </c>
      <c r="D39" s="29">
        <v>65094</v>
      </c>
    </row>
    <row r="40" spans="1:4" x14ac:dyDescent="0.2">
      <c r="C40" t="s">
        <v>85</v>
      </c>
      <c r="D40" s="21">
        <v>3925</v>
      </c>
    </row>
    <row r="41" spans="1:4" x14ac:dyDescent="0.2">
      <c r="B41" t="s">
        <v>44</v>
      </c>
      <c r="C41" t="s">
        <v>87</v>
      </c>
      <c r="D41" s="29">
        <v>269651</v>
      </c>
    </row>
    <row r="42" spans="1:4" x14ac:dyDescent="0.2">
      <c r="C42" t="s">
        <v>85</v>
      </c>
      <c r="D42" s="21">
        <v>4420</v>
      </c>
    </row>
    <row r="43" spans="1:4" x14ac:dyDescent="0.2">
      <c r="B43" t="s">
        <v>40</v>
      </c>
      <c r="C43" t="s">
        <v>87</v>
      </c>
      <c r="D43" s="29">
        <v>67318</v>
      </c>
    </row>
    <row r="44" spans="1:4" x14ac:dyDescent="0.2">
      <c r="C44" t="s">
        <v>85</v>
      </c>
      <c r="D44" s="21">
        <v>2242</v>
      </c>
    </row>
    <row r="45" spans="1:4" x14ac:dyDescent="0.2">
      <c r="B45" t="s">
        <v>43</v>
      </c>
      <c r="C45" t="s">
        <v>87</v>
      </c>
      <c r="D45" s="29">
        <v>67321</v>
      </c>
    </row>
    <row r="46" spans="1:4" x14ac:dyDescent="0.2">
      <c r="C46" t="s">
        <v>85</v>
      </c>
      <c r="D46" s="21">
        <v>3030</v>
      </c>
    </row>
    <row r="47" spans="1:4" x14ac:dyDescent="0.2">
      <c r="B47" t="s">
        <v>41</v>
      </c>
      <c r="C47" t="s">
        <v>87</v>
      </c>
      <c r="D47" s="29">
        <v>32628</v>
      </c>
    </row>
    <row r="48" spans="1:4" x14ac:dyDescent="0.2">
      <c r="C48" t="s">
        <v>85</v>
      </c>
      <c r="D48" s="21">
        <v>2282</v>
      </c>
    </row>
    <row r="49" spans="1:4" x14ac:dyDescent="0.2">
      <c r="A49" t="s">
        <v>96</v>
      </c>
      <c r="D49" s="29">
        <v>502012</v>
      </c>
    </row>
    <row r="50" spans="1:4" x14ac:dyDescent="0.2">
      <c r="A50" t="s">
        <v>97</v>
      </c>
      <c r="D50" s="21">
        <v>15899</v>
      </c>
    </row>
    <row r="51" spans="1:4" x14ac:dyDescent="0.2">
      <c r="A51" t="s">
        <v>22</v>
      </c>
      <c r="B51" t="s">
        <v>42</v>
      </c>
      <c r="C51" t="s">
        <v>87</v>
      </c>
      <c r="D51" s="29">
        <v>35455</v>
      </c>
    </row>
    <row r="52" spans="1:4" x14ac:dyDescent="0.2">
      <c r="C52" t="s">
        <v>85</v>
      </c>
      <c r="D52" s="21">
        <v>2638</v>
      </c>
    </row>
    <row r="53" spans="1:4" x14ac:dyDescent="0.2">
      <c r="B53" t="s">
        <v>44</v>
      </c>
      <c r="C53" t="s">
        <v>87</v>
      </c>
      <c r="D53" s="29">
        <v>156800</v>
      </c>
    </row>
    <row r="54" spans="1:4" x14ac:dyDescent="0.2">
      <c r="C54" t="s">
        <v>85</v>
      </c>
      <c r="D54" s="21">
        <v>3203</v>
      </c>
    </row>
    <row r="55" spans="1:4" x14ac:dyDescent="0.2">
      <c r="B55" t="s">
        <v>40</v>
      </c>
      <c r="C55" t="s">
        <v>87</v>
      </c>
      <c r="D55" s="29">
        <v>51384</v>
      </c>
    </row>
    <row r="56" spans="1:4" x14ac:dyDescent="0.2">
      <c r="C56" t="s">
        <v>85</v>
      </c>
      <c r="D56" s="21">
        <v>1807</v>
      </c>
    </row>
    <row r="57" spans="1:4" x14ac:dyDescent="0.2">
      <c r="B57" t="s">
        <v>43</v>
      </c>
      <c r="C57" t="s">
        <v>87</v>
      </c>
      <c r="D57" s="29">
        <v>40563</v>
      </c>
    </row>
    <row r="58" spans="1:4" x14ac:dyDescent="0.2">
      <c r="C58" t="s">
        <v>85</v>
      </c>
      <c r="D58" s="21">
        <v>1773</v>
      </c>
    </row>
    <row r="59" spans="1:4" x14ac:dyDescent="0.2">
      <c r="B59" t="s">
        <v>41</v>
      </c>
      <c r="C59" t="s">
        <v>87</v>
      </c>
      <c r="D59" s="29">
        <v>11542</v>
      </c>
    </row>
    <row r="60" spans="1:4" x14ac:dyDescent="0.2">
      <c r="C60" t="s">
        <v>85</v>
      </c>
      <c r="D60" s="21">
        <v>781</v>
      </c>
    </row>
    <row r="61" spans="1:4" x14ac:dyDescent="0.2">
      <c r="A61" t="s">
        <v>98</v>
      </c>
      <c r="D61" s="29">
        <v>295744</v>
      </c>
    </row>
    <row r="62" spans="1:4" x14ac:dyDescent="0.2">
      <c r="A62" t="s">
        <v>99</v>
      </c>
      <c r="D62" s="21">
        <v>10202</v>
      </c>
    </row>
    <row r="63" spans="1:4" x14ac:dyDescent="0.2">
      <c r="A63" t="s">
        <v>23</v>
      </c>
      <c r="B63" t="s">
        <v>42</v>
      </c>
      <c r="C63" t="s">
        <v>87</v>
      </c>
      <c r="D63" s="29">
        <v>31481</v>
      </c>
    </row>
    <row r="64" spans="1:4" x14ac:dyDescent="0.2">
      <c r="C64" t="s">
        <v>85</v>
      </c>
      <c r="D64" s="21">
        <v>2456</v>
      </c>
    </row>
    <row r="65" spans="1:4" x14ac:dyDescent="0.2">
      <c r="B65" t="s">
        <v>44</v>
      </c>
      <c r="C65" t="s">
        <v>87</v>
      </c>
      <c r="D65" s="29">
        <v>211805</v>
      </c>
    </row>
    <row r="66" spans="1:4" x14ac:dyDescent="0.2">
      <c r="C66" t="s">
        <v>85</v>
      </c>
      <c r="D66" s="21">
        <v>3362</v>
      </c>
    </row>
    <row r="67" spans="1:4" x14ac:dyDescent="0.2">
      <c r="B67" t="s">
        <v>40</v>
      </c>
      <c r="C67" t="s">
        <v>87</v>
      </c>
      <c r="D67" s="29">
        <v>50922</v>
      </c>
    </row>
    <row r="68" spans="1:4" x14ac:dyDescent="0.2">
      <c r="C68" t="s">
        <v>85</v>
      </c>
      <c r="D68" s="21">
        <v>1949</v>
      </c>
    </row>
    <row r="69" spans="1:4" x14ac:dyDescent="0.2">
      <c r="B69" t="s">
        <v>43</v>
      </c>
      <c r="C69" t="s">
        <v>87</v>
      </c>
      <c r="D69" s="29">
        <v>18116</v>
      </c>
    </row>
    <row r="70" spans="1:4" x14ac:dyDescent="0.2">
      <c r="C70" t="s">
        <v>85</v>
      </c>
      <c r="D70" s="21">
        <v>826</v>
      </c>
    </row>
    <row r="71" spans="1:4" x14ac:dyDescent="0.2">
      <c r="B71" t="s">
        <v>41</v>
      </c>
      <c r="C71" t="s">
        <v>87</v>
      </c>
      <c r="D71" s="29">
        <v>26961</v>
      </c>
    </row>
    <row r="72" spans="1:4" x14ac:dyDescent="0.2">
      <c r="C72" t="s">
        <v>85</v>
      </c>
      <c r="D72" s="21">
        <v>1452</v>
      </c>
    </row>
    <row r="73" spans="1:4" x14ac:dyDescent="0.2">
      <c r="A73" t="s">
        <v>100</v>
      </c>
      <c r="D73" s="29">
        <v>339285</v>
      </c>
    </row>
    <row r="74" spans="1:4" x14ac:dyDescent="0.2">
      <c r="A74" t="s">
        <v>101</v>
      </c>
      <c r="D74" s="21">
        <v>10045</v>
      </c>
    </row>
    <row r="75" spans="1:4" x14ac:dyDescent="0.2">
      <c r="A75" t="s">
        <v>20</v>
      </c>
      <c r="B75" t="s">
        <v>42</v>
      </c>
      <c r="C75" t="s">
        <v>87</v>
      </c>
      <c r="D75" s="29">
        <v>37153</v>
      </c>
    </row>
    <row r="76" spans="1:4" x14ac:dyDescent="0.2">
      <c r="C76" t="s">
        <v>85</v>
      </c>
      <c r="D76" s="21">
        <v>2712</v>
      </c>
    </row>
    <row r="77" spans="1:4" x14ac:dyDescent="0.2">
      <c r="B77" t="s">
        <v>44</v>
      </c>
      <c r="C77" t="s">
        <v>87</v>
      </c>
      <c r="D77" s="29">
        <v>220053</v>
      </c>
    </row>
    <row r="78" spans="1:4" x14ac:dyDescent="0.2">
      <c r="C78" t="s">
        <v>85</v>
      </c>
      <c r="D78" s="21">
        <v>2806</v>
      </c>
    </row>
    <row r="79" spans="1:4" x14ac:dyDescent="0.2">
      <c r="B79" t="s">
        <v>40</v>
      </c>
      <c r="C79" t="s">
        <v>87</v>
      </c>
      <c r="D79" s="29">
        <v>26633</v>
      </c>
    </row>
    <row r="80" spans="1:4" x14ac:dyDescent="0.2">
      <c r="C80" t="s">
        <v>85</v>
      </c>
      <c r="D80" s="21">
        <v>1184</v>
      </c>
    </row>
    <row r="81" spans="1:4" x14ac:dyDescent="0.2">
      <c r="B81" t="s">
        <v>43</v>
      </c>
      <c r="C81" t="s">
        <v>87</v>
      </c>
      <c r="D81" s="29">
        <v>43876</v>
      </c>
    </row>
    <row r="82" spans="1:4" x14ac:dyDescent="0.2">
      <c r="C82" t="s">
        <v>85</v>
      </c>
      <c r="D82" s="21">
        <v>2120</v>
      </c>
    </row>
    <row r="83" spans="1:4" x14ac:dyDescent="0.2">
      <c r="B83" t="s">
        <v>41</v>
      </c>
      <c r="C83" t="s">
        <v>87</v>
      </c>
      <c r="D83" s="29">
        <v>16897</v>
      </c>
    </row>
    <row r="84" spans="1:4" x14ac:dyDescent="0.2">
      <c r="C84" t="s">
        <v>85</v>
      </c>
      <c r="D84" s="21">
        <v>714</v>
      </c>
    </row>
    <row r="85" spans="1:4" x14ac:dyDescent="0.2">
      <c r="A85" t="s">
        <v>102</v>
      </c>
      <c r="D85" s="29">
        <v>344612</v>
      </c>
    </row>
    <row r="86" spans="1:4" x14ac:dyDescent="0.2">
      <c r="A86" t="s">
        <v>103</v>
      </c>
      <c r="D86" s="21">
        <v>9536</v>
      </c>
    </row>
    <row r="87" spans="1:4" x14ac:dyDescent="0.2">
      <c r="A87" t="s">
        <v>21</v>
      </c>
      <c r="B87" t="s">
        <v>42</v>
      </c>
      <c r="C87" t="s">
        <v>87</v>
      </c>
      <c r="D87" s="29">
        <v>9513</v>
      </c>
    </row>
    <row r="88" spans="1:4" x14ac:dyDescent="0.2">
      <c r="C88" t="s">
        <v>85</v>
      </c>
      <c r="D88" s="21">
        <v>654</v>
      </c>
    </row>
    <row r="89" spans="1:4" x14ac:dyDescent="0.2">
      <c r="B89" t="s">
        <v>44</v>
      </c>
      <c r="C89" t="s">
        <v>87</v>
      </c>
      <c r="D89" s="29">
        <v>192568</v>
      </c>
    </row>
    <row r="90" spans="1:4" x14ac:dyDescent="0.2">
      <c r="C90" t="s">
        <v>85</v>
      </c>
      <c r="D90" s="21">
        <v>3824</v>
      </c>
    </row>
    <row r="91" spans="1:4" x14ac:dyDescent="0.2">
      <c r="B91" t="s">
        <v>40</v>
      </c>
      <c r="C91" t="s">
        <v>87</v>
      </c>
      <c r="D91" s="29">
        <v>47429</v>
      </c>
    </row>
    <row r="92" spans="1:4" x14ac:dyDescent="0.2">
      <c r="C92" t="s">
        <v>85</v>
      </c>
      <c r="D92" s="21">
        <v>2180</v>
      </c>
    </row>
    <row r="93" spans="1:4" x14ac:dyDescent="0.2">
      <c r="B93" t="s">
        <v>43</v>
      </c>
      <c r="C93" t="s">
        <v>87</v>
      </c>
      <c r="D93" s="29">
        <v>52236</v>
      </c>
    </row>
    <row r="94" spans="1:4" x14ac:dyDescent="0.2">
      <c r="C94" t="s">
        <v>85</v>
      </c>
      <c r="D94" s="21">
        <v>2250</v>
      </c>
    </row>
    <row r="95" spans="1:4" x14ac:dyDescent="0.2">
      <c r="B95" t="s">
        <v>41</v>
      </c>
      <c r="C95" t="s">
        <v>87</v>
      </c>
      <c r="D95" s="29">
        <v>31042</v>
      </c>
    </row>
    <row r="96" spans="1:4" x14ac:dyDescent="0.2">
      <c r="C96" t="s">
        <v>85</v>
      </c>
      <c r="D96" s="21">
        <v>1291</v>
      </c>
    </row>
    <row r="97" spans="1:4" x14ac:dyDescent="0.2">
      <c r="A97" t="s">
        <v>104</v>
      </c>
      <c r="D97" s="29">
        <v>332788</v>
      </c>
    </row>
    <row r="98" spans="1:4" x14ac:dyDescent="0.2">
      <c r="A98" t="s">
        <v>105</v>
      </c>
      <c r="D98" s="21">
        <v>10199</v>
      </c>
    </row>
    <row r="99" spans="1:4" x14ac:dyDescent="0.2">
      <c r="A99" t="s">
        <v>89</v>
      </c>
      <c r="D99" s="29">
        <v>2967941</v>
      </c>
    </row>
    <row r="100" spans="1:4" x14ac:dyDescent="0.2">
      <c r="A100" t="s">
        <v>88</v>
      </c>
      <c r="D100" s="21">
        <v>88858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Vendors</vt:lpstr>
      <vt:lpstr>Tickets</vt:lpstr>
      <vt:lpstr>Purchases</vt:lpstr>
      <vt:lpstr>Rebates</vt:lpstr>
      <vt:lpstr>Summary</vt:lpstr>
      <vt:lpstr>KPIs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Davila</dc:creator>
  <dcterms:created xsi:type="dcterms:W3CDTF">2026-02-08T19:29:50Z</dcterms:created>
</cp:coreProperties>
</file>